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.xoldarov\Documents\"/>
    </mc:Choice>
  </mc:AlternateContent>
  <bookViews>
    <workbookView xWindow="0" yWindow="0" windowWidth="21570" windowHeight="7995" activeTab="1"/>
  </bookViews>
  <sheets>
    <sheet name="Result 1" sheetId="1" r:id="rId1"/>
    <sheet name="SVOD_NATIJA" sheetId="3" r:id="rId2"/>
  </sheets>
  <definedNames>
    <definedName name="_xlnm._FilterDatabase" localSheetId="0" hidden="1">'Result 1'!$B$1:$B$209</definedName>
  </definedNames>
  <calcPr calcId="162913"/>
</workbook>
</file>

<file path=xl/calcChain.xml><?xml version="1.0" encoding="utf-8"?>
<calcChain xmlns="http://schemas.openxmlformats.org/spreadsheetml/2006/main">
  <c r="D6" i="3" l="1"/>
  <c r="E6" i="3"/>
  <c r="E9" i="3"/>
  <c r="C6" i="3"/>
  <c r="B6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</calcChain>
</file>

<file path=xl/sharedStrings.xml><?xml version="1.0" encoding="utf-8"?>
<sst xmlns="http://schemas.openxmlformats.org/spreadsheetml/2006/main" count="674" uniqueCount="465">
  <si>
    <t>tuman</t>
  </si>
  <si>
    <t>soato</t>
  </si>
  <si>
    <t>Oltinko‘l tumani</t>
  </si>
  <si>
    <t>1703202</t>
  </si>
  <si>
    <t>Andijon tumani</t>
  </si>
  <si>
    <t>1703203</t>
  </si>
  <si>
    <t>Baliqchi tumani</t>
  </si>
  <si>
    <t>1703206</t>
  </si>
  <si>
    <t>Bo‘z tumani</t>
  </si>
  <si>
    <t>1703209</t>
  </si>
  <si>
    <t>Buloqboshi tumani</t>
  </si>
  <si>
    <t>1703210</t>
  </si>
  <si>
    <t>Jalaquduq tumani</t>
  </si>
  <si>
    <t>1703211</t>
  </si>
  <si>
    <t>Izboskan tumani</t>
  </si>
  <si>
    <t>1703214</t>
  </si>
  <si>
    <t>Ulug‘nor tumani</t>
  </si>
  <si>
    <t>1703217</t>
  </si>
  <si>
    <t>Qo‘rg‘ontepa tumani</t>
  </si>
  <si>
    <t>1703220</t>
  </si>
  <si>
    <t>Asaka tumani</t>
  </si>
  <si>
    <t>1703224</t>
  </si>
  <si>
    <t>Marxamat tumani</t>
  </si>
  <si>
    <t>1703227</t>
  </si>
  <si>
    <t>Shahrixon tumani</t>
  </si>
  <si>
    <t>1703230</t>
  </si>
  <si>
    <t>Paxtaobod tumani</t>
  </si>
  <si>
    <t>1703232</t>
  </si>
  <si>
    <t>Xo‘jaobod tumani</t>
  </si>
  <si>
    <t>1703236</t>
  </si>
  <si>
    <t>Andijon shahri</t>
  </si>
  <si>
    <t>1703401</t>
  </si>
  <si>
    <t>Xonobod shahri</t>
  </si>
  <si>
    <t>1703408</t>
  </si>
  <si>
    <t>Olot tumani</t>
  </si>
  <si>
    <t>1706204</t>
  </si>
  <si>
    <t>Buxoro tumani</t>
  </si>
  <si>
    <t>1706207</t>
  </si>
  <si>
    <t>Vobkent tumani</t>
  </si>
  <si>
    <t>1706212</t>
  </si>
  <si>
    <t>G‘ijduvon tumani</t>
  </si>
  <si>
    <t>1706215</t>
  </si>
  <si>
    <t>Kogon tumani</t>
  </si>
  <si>
    <t>1706219</t>
  </si>
  <si>
    <t>Qorako‘l tumani</t>
  </si>
  <si>
    <t>1706230</t>
  </si>
  <si>
    <t>Qorovulbozor tumani</t>
  </si>
  <si>
    <t>1706232</t>
  </si>
  <si>
    <t>Peshku tumani</t>
  </si>
  <si>
    <t>1706240</t>
  </si>
  <si>
    <t>Romitan tumani</t>
  </si>
  <si>
    <t>1706242</t>
  </si>
  <si>
    <t>Jondor tumani</t>
  </si>
  <si>
    <t>1706246</t>
  </si>
  <si>
    <t>Shofirkon tumani</t>
  </si>
  <si>
    <t>1706258</t>
  </si>
  <si>
    <t>Buxoro shahri</t>
  </si>
  <si>
    <t>1706401</t>
  </si>
  <si>
    <t>Kogon shahri</t>
  </si>
  <si>
    <t>1706403</t>
  </si>
  <si>
    <t>Arnasoy tumani</t>
  </si>
  <si>
    <t>1708201</t>
  </si>
  <si>
    <t>Baxmal tumani</t>
  </si>
  <si>
    <t>1708204</t>
  </si>
  <si>
    <t>G‘allaorol tumani</t>
  </si>
  <si>
    <t>1708209</t>
  </si>
  <si>
    <t>Sharof Rashidov tumani</t>
  </si>
  <si>
    <t>1708212</t>
  </si>
  <si>
    <t>Do‘stlik tumani</t>
  </si>
  <si>
    <t>1708215</t>
  </si>
  <si>
    <t>Zomin tumani</t>
  </si>
  <si>
    <t>1708218</t>
  </si>
  <si>
    <t>Zarbdor tumani</t>
  </si>
  <si>
    <t>1708220</t>
  </si>
  <si>
    <t>Mirzacho‘l tumani</t>
  </si>
  <si>
    <t>1708223</t>
  </si>
  <si>
    <t>Zafarobod tumani</t>
  </si>
  <si>
    <t>1708225</t>
  </si>
  <si>
    <t>Paxtakor tumani</t>
  </si>
  <si>
    <t>1708228</t>
  </si>
  <si>
    <t>Forish tumani</t>
  </si>
  <si>
    <t>1708235</t>
  </si>
  <si>
    <t>Yangiobod tumani</t>
  </si>
  <si>
    <t>1708237</t>
  </si>
  <si>
    <t>Jizzax shahri</t>
  </si>
  <si>
    <t>1708401</t>
  </si>
  <si>
    <t>G‘uzor tumani</t>
  </si>
  <si>
    <t>1710207</t>
  </si>
  <si>
    <t>Dehqonobod tumani</t>
  </si>
  <si>
    <t>1710212</t>
  </si>
  <si>
    <t>Qamashi tumani</t>
  </si>
  <si>
    <t>1710220</t>
  </si>
  <si>
    <t>Qarshi tumani</t>
  </si>
  <si>
    <t>1710224</t>
  </si>
  <si>
    <t>Koson tumani</t>
  </si>
  <si>
    <t>1710229</t>
  </si>
  <si>
    <t>Kitob tumani</t>
  </si>
  <si>
    <t>1710232</t>
  </si>
  <si>
    <t>Mirishkor tumani</t>
  </si>
  <si>
    <t>1710233</t>
  </si>
  <si>
    <t>Muborak tumani</t>
  </si>
  <si>
    <t>1710234</t>
  </si>
  <si>
    <t>Nishon tumani</t>
  </si>
  <si>
    <t>1710235</t>
  </si>
  <si>
    <t>Kasbi tumani</t>
  </si>
  <si>
    <t>1710237</t>
  </si>
  <si>
    <t>Ko‘kdala tumani</t>
  </si>
  <si>
    <t>1710240</t>
  </si>
  <si>
    <t>Chiroqchi tumani</t>
  </si>
  <si>
    <t>1710242</t>
  </si>
  <si>
    <t>Shahrisabz tumani</t>
  </si>
  <si>
    <t>1710245</t>
  </si>
  <si>
    <t>Yakkabog‘ tumani</t>
  </si>
  <si>
    <t>1710250</t>
  </si>
  <si>
    <t>Qarshi shahri</t>
  </si>
  <si>
    <t>1710401</t>
  </si>
  <si>
    <t>Shahrisabz shahri</t>
  </si>
  <si>
    <t>1710405</t>
  </si>
  <si>
    <t>Konimex tumani</t>
  </si>
  <si>
    <t>1712211</t>
  </si>
  <si>
    <t>Qiziltepa tumani</t>
  </si>
  <si>
    <t>1712216</t>
  </si>
  <si>
    <t>Navbahor tumani</t>
  </si>
  <si>
    <t>1712230</t>
  </si>
  <si>
    <t>Karmana tumani</t>
  </si>
  <si>
    <t>1712234</t>
  </si>
  <si>
    <t>Nurota tumani</t>
  </si>
  <si>
    <t>1712238</t>
  </si>
  <si>
    <t>Tomdi tumani</t>
  </si>
  <si>
    <t>1712244</t>
  </si>
  <si>
    <t>Uchquduq tumani</t>
  </si>
  <si>
    <t>1712248</t>
  </si>
  <si>
    <t>Xatirchi tumani</t>
  </si>
  <si>
    <t>1712251</t>
  </si>
  <si>
    <t>Navoiy shahri</t>
  </si>
  <si>
    <t>1712401</t>
  </si>
  <si>
    <t>Zarafshon shahri</t>
  </si>
  <si>
    <t>1712408</t>
  </si>
  <si>
    <t>G‘ozg‘on shahri</t>
  </si>
  <si>
    <t>1712412</t>
  </si>
  <si>
    <t>Mingbuloq tumani</t>
  </si>
  <si>
    <t>1714204</t>
  </si>
  <si>
    <t>Kosonsoy tumani</t>
  </si>
  <si>
    <t>1714207</t>
  </si>
  <si>
    <t>Namangan tumani</t>
  </si>
  <si>
    <t>1714212</t>
  </si>
  <si>
    <t>Norin tumani</t>
  </si>
  <si>
    <t>1714216</t>
  </si>
  <si>
    <t>Pop tumani</t>
  </si>
  <si>
    <t>1714219</t>
  </si>
  <si>
    <t>To‘raqo‘rg‘on tumani</t>
  </si>
  <si>
    <t>1714224</t>
  </si>
  <si>
    <t>Uychi tumani</t>
  </si>
  <si>
    <t>1714229</t>
  </si>
  <si>
    <t>Uchqo‘rg‘on tumani</t>
  </si>
  <si>
    <t>1714234</t>
  </si>
  <si>
    <t>Chortoq tumani</t>
  </si>
  <si>
    <t>1714236</t>
  </si>
  <si>
    <t>Chust tumani</t>
  </si>
  <si>
    <t>1714237</t>
  </si>
  <si>
    <t>Yangiqo‘rg‘on tumani</t>
  </si>
  <si>
    <t>1714242</t>
  </si>
  <si>
    <t>Namangan shahri</t>
  </si>
  <si>
    <t>1714401</t>
  </si>
  <si>
    <t>Davlatobod tumani</t>
  </si>
  <si>
    <t>1714401365</t>
  </si>
  <si>
    <t>Yangi Namangan tumani</t>
  </si>
  <si>
    <t>1714401367</t>
  </si>
  <si>
    <t>Oqdaryo tumani</t>
  </si>
  <si>
    <t>1718203</t>
  </si>
  <si>
    <t>Bulung‘ur tumani</t>
  </si>
  <si>
    <t>1718206</t>
  </si>
  <si>
    <t>Jomboy tumani</t>
  </si>
  <si>
    <t>1718209</t>
  </si>
  <si>
    <t>Ishtixon tumani</t>
  </si>
  <si>
    <t>1718212</t>
  </si>
  <si>
    <t>Kattaqo‘rg‘on tumani</t>
  </si>
  <si>
    <t>1718215</t>
  </si>
  <si>
    <t>Qo‘shrabot tumani</t>
  </si>
  <si>
    <t>1718216</t>
  </si>
  <si>
    <t>Narpay tumani</t>
  </si>
  <si>
    <t>1718218</t>
  </si>
  <si>
    <t>Payariq tumani</t>
  </si>
  <si>
    <t>1718224</t>
  </si>
  <si>
    <t>Pastdarg‘om tumani</t>
  </si>
  <si>
    <t>1718227</t>
  </si>
  <si>
    <t>Paxtachi tumani</t>
  </si>
  <si>
    <t>1718230</t>
  </si>
  <si>
    <t>Samarqand tumani</t>
  </si>
  <si>
    <t>1718233</t>
  </si>
  <si>
    <t>Nurobod tumani</t>
  </si>
  <si>
    <t>1718235</t>
  </si>
  <si>
    <t>Urgut tumani</t>
  </si>
  <si>
    <t>1718236</t>
  </si>
  <si>
    <t>Tayloq tumani</t>
  </si>
  <si>
    <t>1718238</t>
  </si>
  <si>
    <t>Samarqand shahri</t>
  </si>
  <si>
    <t>1718401</t>
  </si>
  <si>
    <t>Kattaqo‘rg‘on shahri</t>
  </si>
  <si>
    <t>1718406</t>
  </si>
  <si>
    <t>Oltinsoy tumani</t>
  </si>
  <si>
    <t>1722201</t>
  </si>
  <si>
    <t>Angor tumani</t>
  </si>
  <si>
    <t>1722202</t>
  </si>
  <si>
    <t>Bandixon tumani</t>
  </si>
  <si>
    <t>1722203</t>
  </si>
  <si>
    <t>Boysun tumani</t>
  </si>
  <si>
    <t>1722204</t>
  </si>
  <si>
    <t>Muzrabot tumani</t>
  </si>
  <si>
    <t>1722207</t>
  </si>
  <si>
    <t>Denov tumani</t>
  </si>
  <si>
    <t>1722210</t>
  </si>
  <si>
    <t>Jarqo‘rg‘on tumani</t>
  </si>
  <si>
    <t>1722212</t>
  </si>
  <si>
    <t>Qumqo‘rg‘on tumani</t>
  </si>
  <si>
    <t>1722214</t>
  </si>
  <si>
    <t>Qiziriq tumani</t>
  </si>
  <si>
    <t>1722215</t>
  </si>
  <si>
    <t>Sariosiyo tumani</t>
  </si>
  <si>
    <t>1722217</t>
  </si>
  <si>
    <t>Termiz tumani</t>
  </si>
  <si>
    <t>1722220</t>
  </si>
  <si>
    <t>Uzun tumani</t>
  </si>
  <si>
    <t>1722221</t>
  </si>
  <si>
    <t>Sherobod tumani</t>
  </si>
  <si>
    <t>1722223</t>
  </si>
  <si>
    <t>Sho‘rchi tumani</t>
  </si>
  <si>
    <t>1722226</t>
  </si>
  <si>
    <t>Termiz shahri</t>
  </si>
  <si>
    <t>1722401</t>
  </si>
  <si>
    <t>Oqoltin tumani</t>
  </si>
  <si>
    <t>1724206</t>
  </si>
  <si>
    <t>Boyovut tumani</t>
  </si>
  <si>
    <t>1724212</t>
  </si>
  <si>
    <t>Sayxunobod tumani</t>
  </si>
  <si>
    <t>1724216</t>
  </si>
  <si>
    <t>Guliston tumani</t>
  </si>
  <si>
    <t>1724220</t>
  </si>
  <si>
    <t>Sardoba tumani</t>
  </si>
  <si>
    <t>1724226</t>
  </si>
  <si>
    <t>Mirzaobod tumani</t>
  </si>
  <si>
    <t>1724228</t>
  </si>
  <si>
    <t>Sirdaryo tumani</t>
  </si>
  <si>
    <t>1724231</t>
  </si>
  <si>
    <t>Xovos tumani</t>
  </si>
  <si>
    <t>1724235</t>
  </si>
  <si>
    <t>Guliston shahri</t>
  </si>
  <si>
    <t>1724401</t>
  </si>
  <si>
    <t>Shipin shahri</t>
  </si>
  <si>
    <t>1724410</t>
  </si>
  <si>
    <t>Yangiyer shahri</t>
  </si>
  <si>
    <t>1724413</t>
  </si>
  <si>
    <t>Uchtepa tumani</t>
  </si>
  <si>
    <t>1726262</t>
  </si>
  <si>
    <t>Bektemir tumani</t>
  </si>
  <si>
    <t>1726264</t>
  </si>
  <si>
    <t>Yunusobod tumani</t>
  </si>
  <si>
    <t>1726266</t>
  </si>
  <si>
    <t>Mirzo Ulug‘bek tumani</t>
  </si>
  <si>
    <t>1726269</t>
  </si>
  <si>
    <t>Mirobod tumani</t>
  </si>
  <si>
    <t>1726273</t>
  </si>
  <si>
    <t>Shayxontoxur tumani</t>
  </si>
  <si>
    <t>1726277</t>
  </si>
  <si>
    <t>Olmazor tumani</t>
  </si>
  <si>
    <t>1726280</t>
  </si>
  <si>
    <t>Sirg‘ali tumani</t>
  </si>
  <si>
    <t>1726283</t>
  </si>
  <si>
    <t>Yakkasaroy tumani</t>
  </si>
  <si>
    <t>1726287</t>
  </si>
  <si>
    <t>Yashnobod tumani</t>
  </si>
  <si>
    <t>1726290</t>
  </si>
  <si>
    <t>Yangihayot tumani</t>
  </si>
  <si>
    <t>1726292</t>
  </si>
  <si>
    <t>Chilonzor tumani</t>
  </si>
  <si>
    <t>1726294</t>
  </si>
  <si>
    <t>Oqqo‘rg‘on tumani</t>
  </si>
  <si>
    <t>1727206</t>
  </si>
  <si>
    <t>Ohangaron tumani</t>
  </si>
  <si>
    <t>1727212</t>
  </si>
  <si>
    <t>Bekobod tumani</t>
  </si>
  <si>
    <t>1727220</t>
  </si>
  <si>
    <t>Bo‘stonliq tumani</t>
  </si>
  <si>
    <t>1727224</t>
  </si>
  <si>
    <t>Bo‘ka tumani</t>
  </si>
  <si>
    <t>1727228</t>
  </si>
  <si>
    <t>Quyichirchiq tumani</t>
  </si>
  <si>
    <t>1727233</t>
  </si>
  <si>
    <t>Zangiota tumani</t>
  </si>
  <si>
    <t>1727237</t>
  </si>
  <si>
    <t>Yuqorichirchiq tumani</t>
  </si>
  <si>
    <t>1727239</t>
  </si>
  <si>
    <t>Qibray tumani</t>
  </si>
  <si>
    <t>1727248</t>
  </si>
  <si>
    <t>Parkent tumani</t>
  </si>
  <si>
    <t>1727249</t>
  </si>
  <si>
    <t>Pskent tumani</t>
  </si>
  <si>
    <t>1727250</t>
  </si>
  <si>
    <t>O‘rtachirchiq tumani</t>
  </si>
  <si>
    <t>1727253</t>
  </si>
  <si>
    <t>Chinoz tumani</t>
  </si>
  <si>
    <t>1727256</t>
  </si>
  <si>
    <t>Yangiyo‘l tumani</t>
  </si>
  <si>
    <t>1727259</t>
  </si>
  <si>
    <t>Toshkent tumani</t>
  </si>
  <si>
    <t>1727265</t>
  </si>
  <si>
    <t>Nurafshon shahri</t>
  </si>
  <si>
    <t>1727401</t>
  </si>
  <si>
    <t>Olmaliq shahri</t>
  </si>
  <si>
    <t>1727404</t>
  </si>
  <si>
    <t>Angren shahri</t>
  </si>
  <si>
    <t>1727407</t>
  </si>
  <si>
    <t>Bekobod shahri</t>
  </si>
  <si>
    <t>1727413</t>
  </si>
  <si>
    <t>Ohangaron shahri</t>
  </si>
  <si>
    <t>1727415</t>
  </si>
  <si>
    <t>Chirchiq shahri</t>
  </si>
  <si>
    <t>1727419</t>
  </si>
  <si>
    <t>Yangiyo‘l shahri</t>
  </si>
  <si>
    <t>1727424</t>
  </si>
  <si>
    <t>Oltiariq tumani</t>
  </si>
  <si>
    <t>1730203</t>
  </si>
  <si>
    <t>Qo‘shtepa tumani</t>
  </si>
  <si>
    <t>1730206</t>
  </si>
  <si>
    <t>Bog‘dod tumani</t>
  </si>
  <si>
    <t>1730209</t>
  </si>
  <si>
    <t>Buvayda tumani</t>
  </si>
  <si>
    <t>1730212</t>
  </si>
  <si>
    <t>Beshariq tumani</t>
  </si>
  <si>
    <t>1730215</t>
  </si>
  <si>
    <t>Quva tumani</t>
  </si>
  <si>
    <t>1730218</t>
  </si>
  <si>
    <t>Uchko‘prik tumani</t>
  </si>
  <si>
    <t>1730221</t>
  </si>
  <si>
    <t>Rishton tumani</t>
  </si>
  <si>
    <t>1730224</t>
  </si>
  <si>
    <t>So‘x tumani</t>
  </si>
  <si>
    <t>1730226</t>
  </si>
  <si>
    <t>Toshloq tumani</t>
  </si>
  <si>
    <t>1730227</t>
  </si>
  <si>
    <t>O‘zbekiston tumani</t>
  </si>
  <si>
    <t>1730230</t>
  </si>
  <si>
    <t>Farg‘ona tumani</t>
  </si>
  <si>
    <t>1730233</t>
  </si>
  <si>
    <t>Dang‘ara tumani</t>
  </si>
  <si>
    <t>1730236</t>
  </si>
  <si>
    <t>Furqat tumani</t>
  </si>
  <si>
    <t>1730238</t>
  </si>
  <si>
    <t>Yozyovon tumani</t>
  </si>
  <si>
    <t>1730242</t>
  </si>
  <si>
    <t>Farg‘ona shahri</t>
  </si>
  <si>
    <t>1730401</t>
  </si>
  <si>
    <t>Qo‘qon shahri</t>
  </si>
  <si>
    <t>1730405</t>
  </si>
  <si>
    <t>Quvasoy shahri</t>
  </si>
  <si>
    <t>1730408</t>
  </si>
  <si>
    <t>Marg‘ilon shahri</t>
  </si>
  <si>
    <t>1730412</t>
  </si>
  <si>
    <t>Bog‘ot tumani</t>
  </si>
  <si>
    <t>1733204</t>
  </si>
  <si>
    <t>Gurlan tumani</t>
  </si>
  <si>
    <t>1733208</t>
  </si>
  <si>
    <t>Qo‘shko‘pir tumani</t>
  </si>
  <si>
    <t>1733212</t>
  </si>
  <si>
    <t>Urganch tumani</t>
  </si>
  <si>
    <t>1733217</t>
  </si>
  <si>
    <t>Xazorasp tumani</t>
  </si>
  <si>
    <t>1733220</t>
  </si>
  <si>
    <t>Tuproqqala tumani</t>
  </si>
  <si>
    <t>1733221</t>
  </si>
  <si>
    <t>Xonqa tumani</t>
  </si>
  <si>
    <t>1733223</t>
  </si>
  <si>
    <t>Xiva tumani</t>
  </si>
  <si>
    <t>1733226</t>
  </si>
  <si>
    <t>Shovot tumani</t>
  </si>
  <si>
    <t>1733230</t>
  </si>
  <si>
    <t>Yangiariq tumani</t>
  </si>
  <si>
    <t>1733233</t>
  </si>
  <si>
    <t>Yangibozor tumani</t>
  </si>
  <si>
    <t>1733236</t>
  </si>
  <si>
    <t>Urganch shahri</t>
  </si>
  <si>
    <t>1733401</t>
  </si>
  <si>
    <t>Xiva shahri</t>
  </si>
  <si>
    <t>1733406</t>
  </si>
  <si>
    <t>Amudaryo tumani</t>
  </si>
  <si>
    <t>1735204</t>
  </si>
  <si>
    <t>Beruniy tumani</t>
  </si>
  <si>
    <t>1735207</t>
  </si>
  <si>
    <t>Bo‘zatov tumani</t>
  </si>
  <si>
    <t>1735209</t>
  </si>
  <si>
    <t>Qorao‘zak tumani</t>
  </si>
  <si>
    <t>1735211</t>
  </si>
  <si>
    <t>Kegeyli tumani</t>
  </si>
  <si>
    <t>1735212</t>
  </si>
  <si>
    <t>Qo‘ng‘irot tumani</t>
  </si>
  <si>
    <t>1735215</t>
  </si>
  <si>
    <t>Qanliko‘l tumani</t>
  </si>
  <si>
    <t>1735218</t>
  </si>
  <si>
    <t>Mo‘ynoq tumani</t>
  </si>
  <si>
    <t>1735222</t>
  </si>
  <si>
    <t>Nukus tumani</t>
  </si>
  <si>
    <t>1735225</t>
  </si>
  <si>
    <t>Taxiotosh tumani</t>
  </si>
  <si>
    <t>1735228</t>
  </si>
  <si>
    <t>Taxtako‘pir tumani</t>
  </si>
  <si>
    <t>1735230</t>
  </si>
  <si>
    <t>To‘rtko‘l tumani</t>
  </si>
  <si>
    <t>1735233</t>
  </si>
  <si>
    <t>Xo‘jayli tumani</t>
  </si>
  <si>
    <t>1735236</t>
  </si>
  <si>
    <t>Chimboy tumani</t>
  </si>
  <si>
    <t>1735240</t>
  </si>
  <si>
    <t>Shumanay tumani</t>
  </si>
  <si>
    <t>1735243</t>
  </si>
  <si>
    <t>Ellikqala tumani</t>
  </si>
  <si>
    <t>1735250</t>
  </si>
  <si>
    <t>Nukus shahri</t>
  </si>
  <si>
    <t>1735401</t>
  </si>
  <si>
    <t>umumiy binolar</t>
  </si>
  <si>
    <t>ular_surveylar</t>
  </si>
  <si>
    <t>umumiy mahallalar</t>
  </si>
  <si>
    <t>yangi</t>
  </si>
  <si>
    <t>tugatilmaganlar</t>
  </si>
  <si>
    <t>tugatilganlar</t>
  </si>
  <si>
    <t>jonatilganlar</t>
  </si>
  <si>
    <t>jonatilmaganlar</t>
  </si>
  <si>
    <t>tolangan</t>
  </si>
  <si>
    <t>tolanmaganlar</t>
  </si>
  <si>
    <t>tasdiqlanganlar</t>
  </si>
  <si>
    <t>hududdan tashqari</t>
  </si>
  <si>
    <t>xato kordinatalar</t>
  </si>
  <si>
    <t>juda tez kitirilganlar</t>
  </si>
  <si>
    <t>zich</t>
  </si>
  <si>
    <t>shoshilinch kitirilganlar</t>
  </si>
  <si>
    <t>address_duplikat</t>
  </si>
  <si>
    <t>Ҳудуд номи</t>
  </si>
  <si>
    <t>Жами юборилган сўровномалар</t>
  </si>
  <si>
    <t>шундан</t>
  </si>
  <si>
    <t>тасдиқланган сўровномалар Жами юборилган сўровномалар нисбатан % да</t>
  </si>
  <si>
    <t>тасдиқланган сўровномалар</t>
  </si>
  <si>
    <t xml:space="preserve">текшириш жараёнида </t>
  </si>
  <si>
    <t>Оққўрғон тумани</t>
  </si>
  <si>
    <t>Оҳангарон тумани</t>
  </si>
  <si>
    <t>Бекобод тумани</t>
  </si>
  <si>
    <t>Бўстонлиқ тумани</t>
  </si>
  <si>
    <t>Бўка тумани</t>
  </si>
  <si>
    <t>Қуйичирчиқ тумани</t>
  </si>
  <si>
    <t>Зангиота тумани</t>
  </si>
  <si>
    <t>Юқоричирчиқ тумани</t>
  </si>
  <si>
    <t>Қибрай тумани</t>
  </si>
  <si>
    <t>Паркент тумани</t>
  </si>
  <si>
    <t>Пскент тумани</t>
  </si>
  <si>
    <t>Ўртачирчиқ тумани</t>
  </si>
  <si>
    <t>Чиноз тумани</t>
  </si>
  <si>
    <t>Янгийўл тумани</t>
  </si>
  <si>
    <t>Тошкент тумани</t>
  </si>
  <si>
    <t>Нурафшон шаҳри</t>
  </si>
  <si>
    <t>Олмалиқ шаҳри</t>
  </si>
  <si>
    <t>Ангрен шаҳри</t>
  </si>
  <si>
    <t>Бекобод шаҳри</t>
  </si>
  <si>
    <t>Оҳангарон шаҳри</t>
  </si>
  <si>
    <t>Чирчиқ шаҳри</t>
  </si>
  <si>
    <t>Янгийўл шаҳри</t>
  </si>
  <si>
    <t>Тошкент вилояти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</si>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</sst>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\ _₽_-;\-* #,##0\ _₽_-;_-* &quot;-&quot;\ _₽_-;_-@_-"/>
    <numFmt numFmtId="165" formatCode="_-* #,##0.0\ _₽_-;\-* #,##0.0\ _₽_-;_-* &quot;-&quot;\ _₽_-;_-@_-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rgb="FF000000"/>
      <name val="Times New Roman"/>
      <family val="1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0">
    <xf numFmtId="0" fontId="0" fillId="0" borderId="0" xfId="0"/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22" fillId="0" borderId="0" xfId="0" applyFont="1"/>
    <xf numFmtId="0" fontId="19" fillId="0" borderId="0" xfId="0" applyFont="1" applyFill="1"/>
    <xf numFmtId="1" fontId="19" fillId="0" borderId="0" xfId="0" applyNumberFormat="1" applyFont="1"/>
    <xf numFmtId="0" fontId="20" fillId="0" borderId="0" xfId="0" applyFont="1" applyBorder="1" applyAlignment="1">
      <alignment horizontal="center" vertical="center" wrapText="1"/>
    </xf>
    <xf numFmtId="164" fontId="20" fillId="0" borderId="0" xfId="0" applyNumberFormat="1" applyFont="1" applyBorder="1" applyAlignment="1">
      <alignment horizontal="center" vertical="center"/>
    </xf>
    <xf numFmtId="165" fontId="20" fillId="0" borderId="0" xfId="0" applyNumberFormat="1" applyFont="1" applyBorder="1" applyAlignment="1">
      <alignment horizontal="center" vertic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T209"/>
  <sheetViews>
    <sheetView workbookViewId="0">
      <selection activeCell="K1" sqref="K1"/>
    </sheetView>
  </sheetViews>
  <sheetFormatPr defaultRowHeight="15" x14ac:dyDescent="0.25"/>
  <cols>
    <col min="1" max="1" width="22.7109375" bestFit="1" customWidth="1"/>
    <col min="2" max="3" width="11" bestFit="1" customWidth="1"/>
    <col min="4" max="4" width="14.42578125" bestFit="1" customWidth="1"/>
    <col min="5" max="5" width="12.85546875" customWidth="1"/>
    <col min="6" max="6" width="16.140625" customWidth="1"/>
    <col min="7" max="7" width="4.85546875" customWidth="1"/>
    <col min="8" max="8" width="10.5703125" customWidth="1"/>
    <col min="9" max="9" width="8.28515625" customWidth="1"/>
    <col min="10" max="10" width="10.140625" customWidth="1"/>
    <col min="11" max="11" width="10" customWidth="1"/>
    <col min="12" max="12" width="10.5703125" customWidth="1"/>
    <col min="13" max="13" width="15.5703125" customWidth="1"/>
    <col min="14" max="14" width="16.28515625" customWidth="1"/>
    <col min="15" max="15" width="14.5703125" bestFit="1" customWidth="1"/>
    <col min="16" max="16" width="14" bestFit="1" customWidth="1"/>
    <col min="17" max="17" width="13.5703125" customWidth="1"/>
    <col min="18" max="18" width="12.42578125" bestFit="1" customWidth="1"/>
    <col min="19" max="19" width="16.7109375" bestFit="1" customWidth="1"/>
    <col min="20" max="20" width="17.42578125" bestFit="1" customWidth="1"/>
  </cols>
  <sheetData>
    <row r="1" spans="1:20" x14ac:dyDescent="0.25">
      <c r="A1" t="s">
        <v>0</v>
      </c>
      <c r="B1" t="s">
        <v>1</v>
      </c>
      <c r="C1" t="s">
        <v>1</v>
      </c>
      <c r="D1" t="s">
        <v>418</v>
      </c>
      <c r="E1" t="s">
        <v>419</v>
      </c>
      <c r="F1" t="s">
        <v>420</v>
      </c>
      <c r="G1" t="s">
        <v>421</v>
      </c>
      <c r="H1" t="s">
        <v>422</v>
      </c>
      <c r="I1" t="s">
        <v>423</v>
      </c>
      <c r="J1" t="s">
        <v>424</v>
      </c>
      <c r="K1" t="s">
        <v>425</v>
      </c>
      <c r="L1" t="s">
        <v>426</v>
      </c>
      <c r="M1" t="s">
        <v>427</v>
      </c>
      <c r="N1" t="s">
        <v>428</v>
      </c>
      <c r="O1" t="s">
        <v>429</v>
      </c>
      <c r="P1" t="s">
        <v>430</v>
      </c>
      <c r="Q1" t="s">
        <v>431</v>
      </c>
      <c r="R1" t="s">
        <v>432</v>
      </c>
      <c r="S1" t="s">
        <v>433</v>
      </c>
      <c r="T1" t="s">
        <v>434</v>
      </c>
    </row>
    <row r="2" spans="1:20" hidden="1" x14ac:dyDescent="0.25">
      <c r="A2" t="s">
        <v>2</v>
      </c>
      <c r="B2" t="s">
        <v>3</v>
      </c>
      <c r="C2" t="s">
        <v>3</v>
      </c>
      <c r="D2">
        <v>78794</v>
      </c>
      <c r="E2">
        <v>1570</v>
      </c>
      <c r="F2">
        <v>62</v>
      </c>
      <c r="G2">
        <v>0</v>
      </c>
      <c r="H2">
        <v>77225</v>
      </c>
      <c r="I2">
        <v>1301</v>
      </c>
      <c r="J2">
        <v>0</v>
      </c>
      <c r="K2">
        <v>0</v>
      </c>
      <c r="L2">
        <v>0</v>
      </c>
      <c r="M2">
        <v>0</v>
      </c>
      <c r="N2">
        <v>238</v>
      </c>
      <c r="O2">
        <v>0</v>
      </c>
      <c r="P2">
        <v>29</v>
      </c>
      <c r="Q2">
        <v>0</v>
      </c>
      <c r="R2">
        <v>0</v>
      </c>
      <c r="S2">
        <v>1</v>
      </c>
      <c r="T2">
        <v>0</v>
      </c>
    </row>
    <row r="3" spans="1:20" hidden="1" x14ac:dyDescent="0.25">
      <c r="A3" t="s">
        <v>4</v>
      </c>
      <c r="B3" t="s">
        <v>5</v>
      </c>
      <c r="C3" t="s">
        <v>5</v>
      </c>
      <c r="D3">
        <v>119233</v>
      </c>
      <c r="E3">
        <v>3588</v>
      </c>
      <c r="F3">
        <v>79</v>
      </c>
      <c r="G3">
        <v>0</v>
      </c>
      <c r="H3">
        <v>115653</v>
      </c>
      <c r="I3">
        <v>2976</v>
      </c>
      <c r="J3">
        <v>0</v>
      </c>
      <c r="K3">
        <v>0</v>
      </c>
      <c r="L3">
        <v>0</v>
      </c>
      <c r="M3">
        <v>0</v>
      </c>
      <c r="N3">
        <v>587</v>
      </c>
      <c r="O3">
        <v>0</v>
      </c>
      <c r="P3">
        <v>0</v>
      </c>
      <c r="Q3">
        <v>0</v>
      </c>
      <c r="R3">
        <v>10</v>
      </c>
      <c r="S3">
        <v>7</v>
      </c>
      <c r="T3">
        <v>0</v>
      </c>
    </row>
    <row r="4" spans="1:20" hidden="1" x14ac:dyDescent="0.25">
      <c r="A4" t="s">
        <v>6</v>
      </c>
      <c r="B4" t="s">
        <v>7</v>
      </c>
      <c r="C4" t="s">
        <v>7</v>
      </c>
      <c r="D4">
        <v>76930</v>
      </c>
      <c r="E4">
        <v>1300</v>
      </c>
      <c r="F4">
        <v>75</v>
      </c>
      <c r="G4">
        <v>0</v>
      </c>
      <c r="H4">
        <v>75631</v>
      </c>
      <c r="I4">
        <v>555</v>
      </c>
      <c r="J4">
        <v>0</v>
      </c>
      <c r="K4">
        <v>0</v>
      </c>
      <c r="L4">
        <v>0</v>
      </c>
      <c r="M4">
        <v>0</v>
      </c>
      <c r="N4">
        <v>744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hidden="1" x14ac:dyDescent="0.25">
      <c r="A5" t="s">
        <v>8</v>
      </c>
      <c r="B5" t="s">
        <v>9</v>
      </c>
      <c r="C5" t="s">
        <v>9</v>
      </c>
      <c r="D5">
        <v>29625</v>
      </c>
      <c r="E5">
        <v>145</v>
      </c>
      <c r="F5">
        <v>25</v>
      </c>
      <c r="G5">
        <v>0</v>
      </c>
      <c r="H5">
        <v>29480</v>
      </c>
      <c r="I5">
        <v>145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hidden="1" x14ac:dyDescent="0.25">
      <c r="A6" t="s">
        <v>10</v>
      </c>
      <c r="B6" t="s">
        <v>11</v>
      </c>
      <c r="C6" t="s">
        <v>11</v>
      </c>
      <c r="D6">
        <v>57343</v>
      </c>
      <c r="E6">
        <v>1825</v>
      </c>
      <c r="F6">
        <v>37</v>
      </c>
      <c r="G6">
        <v>0</v>
      </c>
      <c r="H6">
        <v>55518</v>
      </c>
      <c r="I6">
        <v>1808</v>
      </c>
      <c r="J6">
        <v>0</v>
      </c>
      <c r="K6">
        <v>0</v>
      </c>
      <c r="L6">
        <v>0</v>
      </c>
      <c r="M6">
        <v>0</v>
      </c>
      <c r="N6">
        <v>17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hidden="1" x14ac:dyDescent="0.25">
      <c r="A7" t="s">
        <v>12</v>
      </c>
      <c r="B7" t="s">
        <v>13</v>
      </c>
      <c r="C7" t="s">
        <v>13</v>
      </c>
      <c r="D7">
        <v>75588</v>
      </c>
      <c r="E7">
        <v>2040</v>
      </c>
      <c r="F7">
        <v>63</v>
      </c>
      <c r="G7">
        <v>0</v>
      </c>
      <c r="H7">
        <v>73550</v>
      </c>
      <c r="I7">
        <v>1766</v>
      </c>
      <c r="J7">
        <v>0</v>
      </c>
      <c r="K7">
        <v>0</v>
      </c>
      <c r="L7">
        <v>0</v>
      </c>
      <c r="M7">
        <v>0</v>
      </c>
      <c r="N7">
        <v>272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hidden="1" x14ac:dyDescent="0.25">
      <c r="A8" t="s">
        <v>14</v>
      </c>
      <c r="B8" t="s">
        <v>15</v>
      </c>
      <c r="C8" t="s">
        <v>15</v>
      </c>
      <c r="D8">
        <v>63657</v>
      </c>
      <c r="E8">
        <v>3453</v>
      </c>
      <c r="F8">
        <v>63</v>
      </c>
      <c r="G8">
        <v>0</v>
      </c>
      <c r="H8">
        <v>60210</v>
      </c>
      <c r="I8">
        <v>2839</v>
      </c>
      <c r="J8">
        <v>0</v>
      </c>
      <c r="K8">
        <v>0</v>
      </c>
      <c r="L8">
        <v>0</v>
      </c>
      <c r="M8">
        <v>0</v>
      </c>
      <c r="N8">
        <v>608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hidden="1" x14ac:dyDescent="0.25">
      <c r="A9" t="s">
        <v>16</v>
      </c>
      <c r="B9" t="s">
        <v>17</v>
      </c>
      <c r="C9" t="s">
        <v>17</v>
      </c>
      <c r="D9">
        <v>19731</v>
      </c>
      <c r="E9">
        <v>497</v>
      </c>
      <c r="F9">
        <v>24</v>
      </c>
      <c r="G9">
        <v>0</v>
      </c>
      <c r="H9">
        <v>19234</v>
      </c>
      <c r="I9">
        <v>207</v>
      </c>
      <c r="J9">
        <v>0</v>
      </c>
      <c r="K9">
        <v>0</v>
      </c>
      <c r="L9">
        <v>0</v>
      </c>
      <c r="M9">
        <v>0</v>
      </c>
      <c r="N9">
        <v>290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hidden="1" x14ac:dyDescent="0.25">
      <c r="A10" t="s">
        <v>18</v>
      </c>
      <c r="B10" t="s">
        <v>19</v>
      </c>
      <c r="C10" t="s">
        <v>19</v>
      </c>
      <c r="D10">
        <v>83794</v>
      </c>
      <c r="E10">
        <v>3617</v>
      </c>
      <c r="F10">
        <v>79</v>
      </c>
      <c r="G10">
        <v>0</v>
      </c>
      <c r="H10">
        <v>80179</v>
      </c>
      <c r="I10">
        <v>2844</v>
      </c>
      <c r="J10">
        <v>0</v>
      </c>
      <c r="K10">
        <v>0</v>
      </c>
      <c r="L10">
        <v>0</v>
      </c>
      <c r="M10">
        <v>0</v>
      </c>
      <c r="N10">
        <v>771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hidden="1" x14ac:dyDescent="0.25">
      <c r="A11" t="s">
        <v>20</v>
      </c>
      <c r="B11" t="s">
        <v>21</v>
      </c>
      <c r="C11" t="s">
        <v>21</v>
      </c>
      <c r="D11">
        <v>119151</v>
      </c>
      <c r="E11">
        <v>572</v>
      </c>
      <c r="F11">
        <v>77</v>
      </c>
      <c r="G11">
        <v>0</v>
      </c>
      <c r="H11">
        <v>118582</v>
      </c>
      <c r="I11">
        <v>324</v>
      </c>
      <c r="J11">
        <v>0</v>
      </c>
      <c r="K11">
        <v>0</v>
      </c>
      <c r="L11">
        <v>0</v>
      </c>
      <c r="M11">
        <v>0</v>
      </c>
      <c r="N11">
        <v>245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hidden="1" x14ac:dyDescent="0.25">
      <c r="A12" t="s">
        <v>22</v>
      </c>
      <c r="B12" t="s">
        <v>23</v>
      </c>
      <c r="C12" t="s">
        <v>23</v>
      </c>
      <c r="D12">
        <v>72500</v>
      </c>
      <c r="E12">
        <v>480</v>
      </c>
      <c r="F12">
        <v>49</v>
      </c>
      <c r="G12">
        <v>0</v>
      </c>
      <c r="H12">
        <v>72020</v>
      </c>
      <c r="I12">
        <v>104</v>
      </c>
      <c r="J12">
        <v>0</v>
      </c>
      <c r="K12">
        <v>0</v>
      </c>
      <c r="L12">
        <v>0</v>
      </c>
      <c r="M12">
        <v>0</v>
      </c>
      <c r="N12">
        <v>376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hidden="1" x14ac:dyDescent="0.25">
      <c r="A13" t="s">
        <v>24</v>
      </c>
      <c r="B13" t="s">
        <v>25</v>
      </c>
      <c r="C13" t="s">
        <v>25</v>
      </c>
      <c r="D13">
        <v>112579</v>
      </c>
      <c r="E13">
        <v>4903</v>
      </c>
      <c r="F13">
        <v>79</v>
      </c>
      <c r="G13">
        <v>0</v>
      </c>
      <c r="H13">
        <v>107679</v>
      </c>
      <c r="I13">
        <v>3338</v>
      </c>
      <c r="J13">
        <v>0</v>
      </c>
      <c r="K13">
        <v>0</v>
      </c>
      <c r="L13">
        <v>0</v>
      </c>
      <c r="M13">
        <v>0</v>
      </c>
      <c r="N13">
        <v>1562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hidden="1" x14ac:dyDescent="0.25">
      <c r="A14" t="s">
        <v>26</v>
      </c>
      <c r="B14" t="s">
        <v>27</v>
      </c>
      <c r="C14" t="s">
        <v>27</v>
      </c>
      <c r="D14">
        <v>80677</v>
      </c>
      <c r="E14">
        <v>692</v>
      </c>
      <c r="F14">
        <v>67</v>
      </c>
      <c r="G14">
        <v>0</v>
      </c>
      <c r="H14">
        <v>79988</v>
      </c>
      <c r="I14">
        <v>374</v>
      </c>
      <c r="J14">
        <v>0</v>
      </c>
      <c r="K14">
        <v>0</v>
      </c>
      <c r="L14">
        <v>0</v>
      </c>
      <c r="M14">
        <v>0</v>
      </c>
      <c r="N14">
        <v>315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hidden="1" x14ac:dyDescent="0.25">
      <c r="A15" t="s">
        <v>28</v>
      </c>
      <c r="B15" t="s">
        <v>29</v>
      </c>
      <c r="C15" t="s">
        <v>29</v>
      </c>
      <c r="D15">
        <v>52083</v>
      </c>
      <c r="E15">
        <v>2186</v>
      </c>
      <c r="F15">
        <v>39</v>
      </c>
      <c r="G15">
        <v>0</v>
      </c>
      <c r="H15">
        <v>49897</v>
      </c>
      <c r="I15">
        <v>1794</v>
      </c>
      <c r="J15">
        <v>0</v>
      </c>
      <c r="K15">
        <v>0</v>
      </c>
      <c r="L15">
        <v>0</v>
      </c>
      <c r="M15">
        <v>0</v>
      </c>
      <c r="N15">
        <v>392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hidden="1" x14ac:dyDescent="0.25">
      <c r="A16" t="s">
        <v>30</v>
      </c>
      <c r="B16" t="s">
        <v>31</v>
      </c>
      <c r="C16" t="s">
        <v>31</v>
      </c>
      <c r="D16">
        <v>110918</v>
      </c>
      <c r="E16">
        <v>1</v>
      </c>
      <c r="F16">
        <v>94</v>
      </c>
      <c r="G16">
        <v>0</v>
      </c>
      <c r="H16">
        <v>110917</v>
      </c>
      <c r="I16">
        <v>0</v>
      </c>
      <c r="J16">
        <v>0</v>
      </c>
      <c r="K16">
        <v>0</v>
      </c>
      <c r="L16">
        <v>0</v>
      </c>
      <c r="M16">
        <v>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hidden="1" x14ac:dyDescent="0.25">
      <c r="A17" t="s">
        <v>32</v>
      </c>
      <c r="B17" t="s">
        <v>33</v>
      </c>
      <c r="C17" t="s">
        <v>33</v>
      </c>
      <c r="D17">
        <v>11966</v>
      </c>
      <c r="E17">
        <v>283</v>
      </c>
      <c r="F17">
        <v>15</v>
      </c>
      <c r="G17">
        <v>0</v>
      </c>
      <c r="H17">
        <v>11683</v>
      </c>
      <c r="I17">
        <v>86</v>
      </c>
      <c r="J17">
        <v>0</v>
      </c>
      <c r="K17">
        <v>0</v>
      </c>
      <c r="L17">
        <v>0</v>
      </c>
      <c r="M17">
        <v>0</v>
      </c>
      <c r="N17">
        <v>197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hidden="1" x14ac:dyDescent="0.25">
      <c r="A18" t="s">
        <v>34</v>
      </c>
      <c r="B18" t="s">
        <v>35</v>
      </c>
      <c r="C18" t="s">
        <v>35</v>
      </c>
      <c r="D18">
        <v>21197</v>
      </c>
      <c r="E18">
        <v>100</v>
      </c>
      <c r="F18">
        <v>38</v>
      </c>
      <c r="G18">
        <v>0</v>
      </c>
      <c r="H18">
        <v>21097</v>
      </c>
      <c r="I18">
        <v>51</v>
      </c>
      <c r="J18">
        <v>0</v>
      </c>
      <c r="K18">
        <v>0</v>
      </c>
      <c r="L18">
        <v>0</v>
      </c>
      <c r="M18">
        <v>0</v>
      </c>
      <c r="N18">
        <v>49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hidden="1" x14ac:dyDescent="0.25">
      <c r="A19" t="s">
        <v>36</v>
      </c>
      <c r="B19" t="s">
        <v>37</v>
      </c>
      <c r="C19" t="s">
        <v>37</v>
      </c>
      <c r="D19">
        <v>34216</v>
      </c>
      <c r="E19">
        <v>99</v>
      </c>
      <c r="F19">
        <v>36</v>
      </c>
      <c r="G19">
        <v>0</v>
      </c>
      <c r="H19">
        <v>34117</v>
      </c>
      <c r="I19">
        <v>44</v>
      </c>
      <c r="J19">
        <v>0</v>
      </c>
      <c r="K19">
        <v>0</v>
      </c>
      <c r="L19">
        <v>0</v>
      </c>
      <c r="M19">
        <v>0</v>
      </c>
      <c r="N19">
        <v>55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hidden="1" x14ac:dyDescent="0.25">
      <c r="A20" t="s">
        <v>38</v>
      </c>
      <c r="B20" t="s">
        <v>39</v>
      </c>
      <c r="C20" t="s">
        <v>39</v>
      </c>
      <c r="D20">
        <v>32535</v>
      </c>
      <c r="E20">
        <v>3909</v>
      </c>
      <c r="F20">
        <v>44</v>
      </c>
      <c r="G20">
        <v>0</v>
      </c>
      <c r="H20">
        <v>28646</v>
      </c>
      <c r="I20">
        <v>1742</v>
      </c>
      <c r="J20">
        <v>0</v>
      </c>
      <c r="K20">
        <v>0</v>
      </c>
      <c r="L20">
        <v>0</v>
      </c>
      <c r="M20">
        <v>0</v>
      </c>
      <c r="N20">
        <v>2147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hidden="1" x14ac:dyDescent="0.25">
      <c r="A21" t="s">
        <v>40</v>
      </c>
      <c r="B21" t="s">
        <v>41</v>
      </c>
      <c r="C21" t="s">
        <v>41</v>
      </c>
      <c r="D21">
        <v>61756</v>
      </c>
      <c r="E21">
        <v>437</v>
      </c>
      <c r="F21">
        <v>75</v>
      </c>
      <c r="G21">
        <v>0</v>
      </c>
      <c r="H21">
        <v>61322</v>
      </c>
      <c r="I21">
        <v>164</v>
      </c>
      <c r="J21">
        <v>0</v>
      </c>
      <c r="K21">
        <v>0</v>
      </c>
      <c r="L21">
        <v>0</v>
      </c>
      <c r="M21">
        <v>0</v>
      </c>
      <c r="N21">
        <v>270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hidden="1" x14ac:dyDescent="0.25">
      <c r="A22" t="s">
        <v>42</v>
      </c>
      <c r="B22" t="s">
        <v>43</v>
      </c>
      <c r="C22" t="s">
        <v>43</v>
      </c>
      <c r="D22">
        <v>20516</v>
      </c>
      <c r="E22">
        <v>796</v>
      </c>
      <c r="F22">
        <v>23</v>
      </c>
      <c r="G22">
        <v>0</v>
      </c>
      <c r="H22">
        <v>19726</v>
      </c>
      <c r="I22">
        <v>269</v>
      </c>
      <c r="J22">
        <v>0</v>
      </c>
      <c r="K22">
        <v>0</v>
      </c>
      <c r="L22">
        <v>0</v>
      </c>
      <c r="M22">
        <v>0</v>
      </c>
      <c r="N22">
        <v>512</v>
      </c>
      <c r="O22">
        <v>0</v>
      </c>
      <c r="P22">
        <v>0</v>
      </c>
      <c r="Q22">
        <v>0</v>
      </c>
      <c r="R22">
        <v>3</v>
      </c>
      <c r="S22">
        <v>6</v>
      </c>
      <c r="T22">
        <v>0</v>
      </c>
    </row>
    <row r="23" spans="1:20" hidden="1" x14ac:dyDescent="0.25">
      <c r="A23" t="s">
        <v>44</v>
      </c>
      <c r="B23" t="s">
        <v>45</v>
      </c>
      <c r="C23" t="s">
        <v>45</v>
      </c>
      <c r="D23">
        <v>35785</v>
      </c>
      <c r="E23">
        <v>6552</v>
      </c>
      <c r="F23">
        <v>50</v>
      </c>
      <c r="G23">
        <v>0</v>
      </c>
      <c r="H23">
        <v>29239</v>
      </c>
      <c r="I23">
        <v>4275</v>
      </c>
      <c r="J23">
        <v>0</v>
      </c>
      <c r="K23">
        <v>0</v>
      </c>
      <c r="L23">
        <v>0</v>
      </c>
      <c r="M23">
        <v>0</v>
      </c>
      <c r="N23">
        <v>2270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</row>
    <row r="24" spans="1:20" hidden="1" x14ac:dyDescent="0.25">
      <c r="A24" t="s">
        <v>46</v>
      </c>
      <c r="B24" t="s">
        <v>47</v>
      </c>
      <c r="C24" t="s">
        <v>47</v>
      </c>
      <c r="D24">
        <v>5036</v>
      </c>
      <c r="E24">
        <v>218</v>
      </c>
      <c r="F24">
        <v>7</v>
      </c>
      <c r="G24">
        <v>0</v>
      </c>
      <c r="H24">
        <v>4825</v>
      </c>
      <c r="I24">
        <v>96</v>
      </c>
      <c r="J24">
        <v>0</v>
      </c>
      <c r="K24">
        <v>0</v>
      </c>
      <c r="L24">
        <v>0</v>
      </c>
      <c r="M24">
        <v>0</v>
      </c>
      <c r="N24">
        <v>115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 hidden="1" x14ac:dyDescent="0.25">
      <c r="A25" t="s">
        <v>48</v>
      </c>
      <c r="B25" t="s">
        <v>49</v>
      </c>
      <c r="C25" t="s">
        <v>49</v>
      </c>
      <c r="D25">
        <v>27377</v>
      </c>
      <c r="E25">
        <v>827</v>
      </c>
      <c r="F25">
        <v>37</v>
      </c>
      <c r="G25">
        <v>0</v>
      </c>
      <c r="H25">
        <v>26554</v>
      </c>
      <c r="I25">
        <v>153</v>
      </c>
      <c r="J25">
        <v>0</v>
      </c>
      <c r="K25">
        <v>0</v>
      </c>
      <c r="L25">
        <v>0</v>
      </c>
      <c r="M25">
        <v>0</v>
      </c>
      <c r="N25">
        <v>670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 hidden="1" x14ac:dyDescent="0.25">
      <c r="A26" t="s">
        <v>50</v>
      </c>
      <c r="B26" t="s">
        <v>51</v>
      </c>
      <c r="C26" t="s">
        <v>51</v>
      </c>
      <c r="D26">
        <v>45270</v>
      </c>
      <c r="E26">
        <v>1342</v>
      </c>
      <c r="F26">
        <v>45</v>
      </c>
      <c r="G26">
        <v>0</v>
      </c>
      <c r="H26">
        <v>43930</v>
      </c>
      <c r="I26">
        <v>408</v>
      </c>
      <c r="J26">
        <v>0</v>
      </c>
      <c r="K26">
        <v>0</v>
      </c>
      <c r="L26">
        <v>0</v>
      </c>
      <c r="M26">
        <v>0</v>
      </c>
      <c r="N26">
        <v>932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hidden="1" x14ac:dyDescent="0.25">
      <c r="A27" t="s">
        <v>52</v>
      </c>
      <c r="B27" t="s">
        <v>53</v>
      </c>
      <c r="C27" t="s">
        <v>53</v>
      </c>
      <c r="D27">
        <v>39409</v>
      </c>
      <c r="E27">
        <v>2711</v>
      </c>
      <c r="F27">
        <v>52</v>
      </c>
      <c r="G27">
        <v>0</v>
      </c>
      <c r="H27">
        <v>36705</v>
      </c>
      <c r="I27">
        <v>1000</v>
      </c>
      <c r="J27">
        <v>0</v>
      </c>
      <c r="K27">
        <v>0</v>
      </c>
      <c r="L27">
        <v>0</v>
      </c>
      <c r="M27">
        <v>0</v>
      </c>
      <c r="N27">
        <v>1701</v>
      </c>
      <c r="O27">
        <v>0</v>
      </c>
      <c r="P27">
        <v>0</v>
      </c>
      <c r="Q27">
        <v>0</v>
      </c>
      <c r="R27">
        <v>3</v>
      </c>
      <c r="S27">
        <v>0</v>
      </c>
      <c r="T27">
        <v>0</v>
      </c>
    </row>
    <row r="28" spans="1:20" hidden="1" x14ac:dyDescent="0.25">
      <c r="A28" t="s">
        <v>54</v>
      </c>
      <c r="B28" t="s">
        <v>55</v>
      </c>
      <c r="C28" t="s">
        <v>55</v>
      </c>
      <c r="D28">
        <v>36609</v>
      </c>
      <c r="E28">
        <v>2195</v>
      </c>
      <c r="F28">
        <v>51</v>
      </c>
      <c r="G28">
        <v>0</v>
      </c>
      <c r="H28">
        <v>34416</v>
      </c>
      <c r="I28">
        <v>937</v>
      </c>
      <c r="J28">
        <v>0</v>
      </c>
      <c r="K28">
        <v>0</v>
      </c>
      <c r="L28">
        <v>0</v>
      </c>
      <c r="M28">
        <v>0</v>
      </c>
      <c r="N28">
        <v>1256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 hidden="1" x14ac:dyDescent="0.25">
      <c r="A29" t="s">
        <v>56</v>
      </c>
      <c r="B29" t="s">
        <v>57</v>
      </c>
      <c r="C29" t="s">
        <v>57</v>
      </c>
      <c r="D29">
        <v>39627</v>
      </c>
      <c r="E29">
        <v>1869</v>
      </c>
      <c r="F29">
        <v>65</v>
      </c>
      <c r="G29">
        <v>0</v>
      </c>
      <c r="H29">
        <v>37768</v>
      </c>
      <c r="I29">
        <v>362</v>
      </c>
      <c r="J29">
        <v>0</v>
      </c>
      <c r="K29">
        <v>0</v>
      </c>
      <c r="L29">
        <v>0</v>
      </c>
      <c r="M29">
        <v>0</v>
      </c>
      <c r="N29">
        <v>1497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 hidden="1" x14ac:dyDescent="0.25">
      <c r="A30" t="s">
        <v>58</v>
      </c>
      <c r="B30" t="s">
        <v>59</v>
      </c>
      <c r="C30" t="s">
        <v>59</v>
      </c>
      <c r="D30">
        <v>9866</v>
      </c>
      <c r="E30">
        <v>600</v>
      </c>
      <c r="F30">
        <v>22</v>
      </c>
      <c r="G30">
        <v>0</v>
      </c>
      <c r="H30">
        <v>9271</v>
      </c>
      <c r="I30">
        <v>81</v>
      </c>
      <c r="J30">
        <v>0</v>
      </c>
      <c r="K30">
        <v>0</v>
      </c>
      <c r="L30">
        <v>0</v>
      </c>
      <c r="M30">
        <v>0</v>
      </c>
      <c r="N30">
        <v>401</v>
      </c>
      <c r="O30">
        <v>0</v>
      </c>
      <c r="P30">
        <v>0</v>
      </c>
      <c r="Q30">
        <v>0</v>
      </c>
      <c r="R30">
        <v>41</v>
      </c>
      <c r="S30">
        <v>72</v>
      </c>
      <c r="T30">
        <v>0</v>
      </c>
    </row>
    <row r="31" spans="1:20" hidden="1" x14ac:dyDescent="0.25">
      <c r="A31" t="s">
        <v>60</v>
      </c>
      <c r="B31" t="s">
        <v>61</v>
      </c>
      <c r="C31" t="s">
        <v>61</v>
      </c>
      <c r="D31">
        <v>6243</v>
      </c>
      <c r="E31">
        <v>77</v>
      </c>
      <c r="F31">
        <v>11</v>
      </c>
      <c r="G31">
        <v>0</v>
      </c>
      <c r="H31">
        <v>6166</v>
      </c>
      <c r="I31">
        <v>57</v>
      </c>
      <c r="J31">
        <v>0</v>
      </c>
      <c r="K31">
        <v>0</v>
      </c>
      <c r="L31">
        <v>0</v>
      </c>
      <c r="M31">
        <v>0</v>
      </c>
      <c r="N31">
        <v>20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 hidden="1" x14ac:dyDescent="0.25">
      <c r="A32" t="s">
        <v>62</v>
      </c>
      <c r="B32" t="s">
        <v>63</v>
      </c>
      <c r="C32" t="s">
        <v>63</v>
      </c>
      <c r="D32">
        <v>24424</v>
      </c>
      <c r="E32">
        <v>0</v>
      </c>
      <c r="F32">
        <v>34</v>
      </c>
      <c r="G32">
        <v>0</v>
      </c>
      <c r="H32">
        <v>24424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 hidden="1" x14ac:dyDescent="0.25">
      <c r="A33" t="s">
        <v>64</v>
      </c>
      <c r="B33" t="s">
        <v>65</v>
      </c>
      <c r="C33" t="s">
        <v>65</v>
      </c>
      <c r="D33">
        <v>585</v>
      </c>
      <c r="E33">
        <v>0</v>
      </c>
      <c r="F33">
        <v>35</v>
      </c>
      <c r="G33">
        <v>0</v>
      </c>
      <c r="H33">
        <v>585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 hidden="1" x14ac:dyDescent="0.25">
      <c r="A34" t="s">
        <v>66</v>
      </c>
      <c r="B34" t="s">
        <v>67</v>
      </c>
      <c r="C34" t="s">
        <v>67</v>
      </c>
      <c r="D34">
        <v>3634</v>
      </c>
      <c r="E34">
        <v>0</v>
      </c>
      <c r="F34">
        <v>48</v>
      </c>
      <c r="G34">
        <v>0</v>
      </c>
      <c r="H34">
        <v>3634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 hidden="1" x14ac:dyDescent="0.25">
      <c r="A35" t="s">
        <v>68</v>
      </c>
      <c r="B35" t="s">
        <v>69</v>
      </c>
      <c r="C35" t="s">
        <v>69</v>
      </c>
      <c r="D35">
        <v>5576</v>
      </c>
      <c r="E35">
        <v>9</v>
      </c>
      <c r="F35">
        <v>12</v>
      </c>
      <c r="G35">
        <v>0</v>
      </c>
      <c r="H35">
        <v>5567</v>
      </c>
      <c r="I35">
        <v>3</v>
      </c>
      <c r="J35">
        <v>0</v>
      </c>
      <c r="K35">
        <v>0</v>
      </c>
      <c r="L35">
        <v>0</v>
      </c>
      <c r="M35">
        <v>0</v>
      </c>
      <c r="N35">
        <v>6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 hidden="1" x14ac:dyDescent="0.25">
      <c r="A36" t="s">
        <v>70</v>
      </c>
      <c r="B36" t="s">
        <v>71</v>
      </c>
      <c r="C36" t="s">
        <v>71</v>
      </c>
      <c r="D36">
        <v>19554</v>
      </c>
      <c r="E36">
        <v>9</v>
      </c>
      <c r="F36">
        <v>39</v>
      </c>
      <c r="G36">
        <v>0</v>
      </c>
      <c r="H36">
        <v>19545</v>
      </c>
      <c r="I36">
        <v>9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 hidden="1" x14ac:dyDescent="0.25">
      <c r="A37" t="s">
        <v>72</v>
      </c>
      <c r="B37" t="s">
        <v>73</v>
      </c>
      <c r="C37" t="s">
        <v>73</v>
      </c>
      <c r="D37">
        <v>15062</v>
      </c>
      <c r="E37">
        <v>583</v>
      </c>
      <c r="F37">
        <v>24</v>
      </c>
      <c r="G37">
        <v>0</v>
      </c>
      <c r="H37">
        <v>14479</v>
      </c>
      <c r="I37">
        <v>496</v>
      </c>
      <c r="J37">
        <v>0</v>
      </c>
      <c r="K37">
        <v>0</v>
      </c>
      <c r="L37">
        <v>0</v>
      </c>
      <c r="M37">
        <v>0</v>
      </c>
      <c r="N37">
        <v>87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 hidden="1" x14ac:dyDescent="0.25">
      <c r="A38" t="s">
        <v>74</v>
      </c>
      <c r="B38" t="s">
        <v>75</v>
      </c>
      <c r="C38" t="s">
        <v>75</v>
      </c>
      <c r="D38">
        <v>4398</v>
      </c>
      <c r="E38">
        <v>0</v>
      </c>
      <c r="F38">
        <v>12</v>
      </c>
      <c r="G38">
        <v>0</v>
      </c>
      <c r="H38">
        <v>4398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 hidden="1" x14ac:dyDescent="0.25">
      <c r="A39" t="s">
        <v>76</v>
      </c>
      <c r="B39" t="s">
        <v>77</v>
      </c>
      <c r="C39" t="s">
        <v>77</v>
      </c>
      <c r="D39">
        <v>6553</v>
      </c>
      <c r="E39">
        <v>188</v>
      </c>
      <c r="F39">
        <v>11</v>
      </c>
      <c r="G39">
        <v>0</v>
      </c>
      <c r="H39">
        <v>6365</v>
      </c>
      <c r="I39">
        <v>185</v>
      </c>
      <c r="J39">
        <v>0</v>
      </c>
      <c r="K39">
        <v>0</v>
      </c>
      <c r="L39">
        <v>0</v>
      </c>
      <c r="M39">
        <v>0</v>
      </c>
      <c r="N39">
        <v>3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 hidden="1" x14ac:dyDescent="0.25">
      <c r="A40" t="s">
        <v>78</v>
      </c>
      <c r="B40" t="s">
        <v>79</v>
      </c>
      <c r="C40" t="s">
        <v>79</v>
      </c>
      <c r="D40">
        <v>7797</v>
      </c>
      <c r="E40">
        <v>547</v>
      </c>
      <c r="F40">
        <v>15</v>
      </c>
      <c r="G40">
        <v>0</v>
      </c>
      <c r="H40">
        <v>7250</v>
      </c>
      <c r="I40">
        <v>405</v>
      </c>
      <c r="J40">
        <v>0</v>
      </c>
      <c r="K40">
        <v>0</v>
      </c>
      <c r="L40">
        <v>0</v>
      </c>
      <c r="M40">
        <v>0</v>
      </c>
      <c r="N40">
        <v>142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hidden="1" x14ac:dyDescent="0.25">
      <c r="A41" t="s">
        <v>80</v>
      </c>
      <c r="B41" t="s">
        <v>81</v>
      </c>
      <c r="C41" t="s">
        <v>81</v>
      </c>
      <c r="D41">
        <v>15392</v>
      </c>
      <c r="E41">
        <v>916</v>
      </c>
      <c r="F41">
        <v>27</v>
      </c>
      <c r="G41">
        <v>0</v>
      </c>
      <c r="H41">
        <v>14476</v>
      </c>
      <c r="I41">
        <v>613</v>
      </c>
      <c r="J41">
        <v>0</v>
      </c>
      <c r="K41">
        <v>0</v>
      </c>
      <c r="L41">
        <v>0</v>
      </c>
      <c r="M41">
        <v>0</v>
      </c>
      <c r="N41">
        <v>303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 hidden="1" x14ac:dyDescent="0.25">
      <c r="A42" t="s">
        <v>82</v>
      </c>
      <c r="B42" t="s">
        <v>83</v>
      </c>
      <c r="C42" t="s">
        <v>83</v>
      </c>
      <c r="D42">
        <v>4932</v>
      </c>
      <c r="E42">
        <v>80</v>
      </c>
      <c r="F42">
        <v>10</v>
      </c>
      <c r="G42">
        <v>0</v>
      </c>
      <c r="H42">
        <v>4852</v>
      </c>
      <c r="I42">
        <v>39</v>
      </c>
      <c r="J42">
        <v>0</v>
      </c>
      <c r="K42">
        <v>0</v>
      </c>
      <c r="L42">
        <v>0</v>
      </c>
      <c r="M42">
        <v>0</v>
      </c>
      <c r="N42">
        <v>41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 hidden="1" x14ac:dyDescent="0.25">
      <c r="A43" t="s">
        <v>84</v>
      </c>
      <c r="B43" t="s">
        <v>85</v>
      </c>
      <c r="C43" t="s">
        <v>85</v>
      </c>
      <c r="D43">
        <v>23274</v>
      </c>
      <c r="E43">
        <v>435</v>
      </c>
      <c r="F43">
        <v>34</v>
      </c>
      <c r="G43">
        <v>0</v>
      </c>
      <c r="H43">
        <v>22842</v>
      </c>
      <c r="I43">
        <v>163</v>
      </c>
      <c r="J43">
        <v>0</v>
      </c>
      <c r="K43">
        <v>0</v>
      </c>
      <c r="L43">
        <v>0</v>
      </c>
      <c r="M43">
        <v>0</v>
      </c>
      <c r="N43">
        <v>269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 hidden="1" x14ac:dyDescent="0.25">
      <c r="A44" t="s">
        <v>86</v>
      </c>
      <c r="B44" t="s">
        <v>87</v>
      </c>
      <c r="C44" t="s">
        <v>87</v>
      </c>
      <c r="D44">
        <v>43971</v>
      </c>
      <c r="E44">
        <v>486</v>
      </c>
      <c r="F44">
        <v>51</v>
      </c>
      <c r="G44">
        <v>0</v>
      </c>
      <c r="H44">
        <v>43485</v>
      </c>
      <c r="I44">
        <v>293</v>
      </c>
      <c r="J44">
        <v>0</v>
      </c>
      <c r="K44">
        <v>0</v>
      </c>
      <c r="L44">
        <v>0</v>
      </c>
      <c r="M44">
        <v>0</v>
      </c>
      <c r="N44">
        <v>193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 hidden="1" x14ac:dyDescent="0.25">
      <c r="A45" t="s">
        <v>88</v>
      </c>
      <c r="B45" t="s">
        <v>89</v>
      </c>
      <c r="C45" t="s">
        <v>89</v>
      </c>
      <c r="D45">
        <v>32042</v>
      </c>
      <c r="E45">
        <v>148</v>
      </c>
      <c r="F45">
        <v>55</v>
      </c>
      <c r="G45">
        <v>0</v>
      </c>
      <c r="H45">
        <v>31894</v>
      </c>
      <c r="I45">
        <v>101</v>
      </c>
      <c r="J45">
        <v>0</v>
      </c>
      <c r="K45">
        <v>0</v>
      </c>
      <c r="L45">
        <v>0</v>
      </c>
      <c r="M45">
        <v>0</v>
      </c>
      <c r="N45">
        <v>47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 hidden="1" x14ac:dyDescent="0.25">
      <c r="A46" t="s">
        <v>90</v>
      </c>
      <c r="B46" t="s">
        <v>91</v>
      </c>
      <c r="C46" t="s">
        <v>91</v>
      </c>
      <c r="D46">
        <v>113474</v>
      </c>
      <c r="E46">
        <v>1208</v>
      </c>
      <c r="F46">
        <v>61</v>
      </c>
      <c r="G46">
        <v>0</v>
      </c>
      <c r="H46">
        <v>112268</v>
      </c>
      <c r="I46">
        <v>780</v>
      </c>
      <c r="J46">
        <v>0</v>
      </c>
      <c r="K46">
        <v>0</v>
      </c>
      <c r="L46">
        <v>0</v>
      </c>
      <c r="M46">
        <v>0</v>
      </c>
      <c r="N46">
        <v>425</v>
      </c>
      <c r="O46">
        <v>0</v>
      </c>
      <c r="P46">
        <v>0</v>
      </c>
      <c r="Q46">
        <v>0</v>
      </c>
      <c r="R46">
        <v>1</v>
      </c>
      <c r="S46">
        <v>0</v>
      </c>
      <c r="T46">
        <v>0</v>
      </c>
    </row>
    <row r="47" spans="1:20" hidden="1" x14ac:dyDescent="0.25">
      <c r="A47" t="s">
        <v>92</v>
      </c>
      <c r="B47" t="s">
        <v>93</v>
      </c>
      <c r="C47" t="s">
        <v>93</v>
      </c>
      <c r="D47">
        <v>120556</v>
      </c>
      <c r="E47">
        <v>1057</v>
      </c>
      <c r="F47">
        <v>58</v>
      </c>
      <c r="G47">
        <v>0</v>
      </c>
      <c r="H47">
        <v>119499</v>
      </c>
      <c r="I47">
        <v>927</v>
      </c>
      <c r="J47">
        <v>0</v>
      </c>
      <c r="K47">
        <v>0</v>
      </c>
      <c r="L47">
        <v>0</v>
      </c>
      <c r="M47">
        <v>0</v>
      </c>
      <c r="N47">
        <v>130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 hidden="1" x14ac:dyDescent="0.25">
      <c r="A48" t="s">
        <v>94</v>
      </c>
      <c r="B48" t="s">
        <v>95</v>
      </c>
      <c r="C48" t="s">
        <v>95</v>
      </c>
      <c r="D48">
        <v>58208</v>
      </c>
      <c r="E48">
        <v>11</v>
      </c>
      <c r="F48">
        <v>78</v>
      </c>
      <c r="G48">
        <v>0</v>
      </c>
      <c r="H48">
        <v>58197</v>
      </c>
      <c r="I48">
        <v>9</v>
      </c>
      <c r="J48">
        <v>0</v>
      </c>
      <c r="K48">
        <v>0</v>
      </c>
      <c r="L48">
        <v>0</v>
      </c>
      <c r="M48">
        <v>0</v>
      </c>
      <c r="N48">
        <v>2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 hidden="1" x14ac:dyDescent="0.25">
      <c r="A49" t="s">
        <v>96</v>
      </c>
      <c r="B49" t="s">
        <v>97</v>
      </c>
      <c r="C49" t="s">
        <v>97</v>
      </c>
      <c r="D49">
        <v>108867</v>
      </c>
      <c r="E49">
        <v>73</v>
      </c>
      <c r="F49">
        <v>59</v>
      </c>
      <c r="G49">
        <v>0</v>
      </c>
      <c r="H49">
        <v>108794</v>
      </c>
      <c r="I49">
        <v>70</v>
      </c>
      <c r="J49">
        <v>0</v>
      </c>
      <c r="K49">
        <v>0</v>
      </c>
      <c r="L49">
        <v>0</v>
      </c>
      <c r="M49">
        <v>0</v>
      </c>
      <c r="N49">
        <v>3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 hidden="1" x14ac:dyDescent="0.25">
      <c r="A50" t="s">
        <v>98</v>
      </c>
      <c r="B50" t="s">
        <v>99</v>
      </c>
      <c r="C50" t="s">
        <v>99</v>
      </c>
      <c r="D50">
        <v>27391</v>
      </c>
      <c r="E50">
        <v>1259</v>
      </c>
      <c r="F50">
        <v>41</v>
      </c>
      <c r="G50">
        <v>0</v>
      </c>
      <c r="H50">
        <v>26136</v>
      </c>
      <c r="I50">
        <v>604</v>
      </c>
      <c r="J50">
        <v>0</v>
      </c>
      <c r="K50">
        <v>0</v>
      </c>
      <c r="L50">
        <v>0</v>
      </c>
      <c r="M50">
        <v>0</v>
      </c>
      <c r="N50">
        <v>651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 hidden="1" x14ac:dyDescent="0.25">
      <c r="A51" t="s">
        <v>100</v>
      </c>
      <c r="B51" t="s">
        <v>101</v>
      </c>
      <c r="C51" t="s">
        <v>101</v>
      </c>
      <c r="D51">
        <v>31477</v>
      </c>
      <c r="E51">
        <v>2</v>
      </c>
      <c r="F51">
        <v>25</v>
      </c>
      <c r="G51">
        <v>0</v>
      </c>
      <c r="H51">
        <v>31475</v>
      </c>
      <c r="I51">
        <v>0</v>
      </c>
      <c r="J51">
        <v>0</v>
      </c>
      <c r="K51">
        <v>0</v>
      </c>
      <c r="L51">
        <v>0</v>
      </c>
      <c r="M51">
        <v>0</v>
      </c>
      <c r="N51">
        <v>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 hidden="1" x14ac:dyDescent="0.25">
      <c r="A52" t="s">
        <v>102</v>
      </c>
      <c r="B52" t="s">
        <v>103</v>
      </c>
      <c r="C52" t="s">
        <v>103</v>
      </c>
      <c r="D52">
        <v>35523</v>
      </c>
      <c r="E52">
        <v>0</v>
      </c>
      <c r="F52">
        <v>42</v>
      </c>
      <c r="G52">
        <v>0</v>
      </c>
      <c r="H52">
        <v>35523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 hidden="1" x14ac:dyDescent="0.25">
      <c r="A53" t="s">
        <v>104</v>
      </c>
      <c r="B53" t="s">
        <v>105</v>
      </c>
      <c r="C53" t="s">
        <v>105</v>
      </c>
      <c r="D53">
        <v>44632</v>
      </c>
      <c r="E53">
        <v>235</v>
      </c>
      <c r="F53">
        <v>42</v>
      </c>
      <c r="G53">
        <v>0</v>
      </c>
      <c r="H53">
        <v>44397</v>
      </c>
      <c r="I53">
        <v>163</v>
      </c>
      <c r="J53">
        <v>0</v>
      </c>
      <c r="K53">
        <v>0</v>
      </c>
      <c r="L53">
        <v>0</v>
      </c>
      <c r="M53">
        <v>0</v>
      </c>
      <c r="N53">
        <v>72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 spans="1:20" hidden="1" x14ac:dyDescent="0.25">
      <c r="A54" t="s">
        <v>106</v>
      </c>
      <c r="B54" t="s">
        <v>107</v>
      </c>
      <c r="C54" t="s">
        <v>107</v>
      </c>
      <c r="D54">
        <v>36404</v>
      </c>
      <c r="E54">
        <v>411</v>
      </c>
      <c r="F54">
        <v>41</v>
      </c>
      <c r="G54">
        <v>0</v>
      </c>
      <c r="H54">
        <v>35994</v>
      </c>
      <c r="I54">
        <v>189</v>
      </c>
      <c r="J54">
        <v>0</v>
      </c>
      <c r="K54">
        <v>0</v>
      </c>
      <c r="L54">
        <v>0</v>
      </c>
      <c r="M54">
        <v>0</v>
      </c>
      <c r="N54">
        <v>221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 hidden="1" x14ac:dyDescent="0.25">
      <c r="A55" t="s">
        <v>108</v>
      </c>
      <c r="B55" t="s">
        <v>109</v>
      </c>
      <c r="C55" t="s">
        <v>109</v>
      </c>
      <c r="D55">
        <v>49336</v>
      </c>
      <c r="E55">
        <v>1604</v>
      </c>
      <c r="F55">
        <v>59</v>
      </c>
      <c r="G55">
        <v>0</v>
      </c>
      <c r="H55">
        <v>47736</v>
      </c>
      <c r="I55">
        <v>676</v>
      </c>
      <c r="J55">
        <v>0</v>
      </c>
      <c r="K55">
        <v>0</v>
      </c>
      <c r="L55">
        <v>0</v>
      </c>
      <c r="M55">
        <v>0</v>
      </c>
      <c r="N55">
        <v>921</v>
      </c>
      <c r="O55">
        <v>0</v>
      </c>
      <c r="P55">
        <v>0</v>
      </c>
      <c r="Q55">
        <v>0</v>
      </c>
      <c r="R55">
        <v>3</v>
      </c>
      <c r="S55">
        <v>0</v>
      </c>
      <c r="T55">
        <v>0</v>
      </c>
    </row>
    <row r="56" spans="1:20" hidden="1" x14ac:dyDescent="0.25">
      <c r="A56" t="s">
        <v>110</v>
      </c>
      <c r="B56" t="s">
        <v>111</v>
      </c>
      <c r="C56" t="s">
        <v>111</v>
      </c>
      <c r="D56">
        <v>49500</v>
      </c>
      <c r="E56">
        <v>905</v>
      </c>
      <c r="F56">
        <v>59</v>
      </c>
      <c r="G56">
        <v>0</v>
      </c>
      <c r="H56">
        <v>48596</v>
      </c>
      <c r="I56">
        <v>824</v>
      </c>
      <c r="J56">
        <v>0</v>
      </c>
      <c r="K56">
        <v>0</v>
      </c>
      <c r="L56">
        <v>0</v>
      </c>
      <c r="M56">
        <v>0</v>
      </c>
      <c r="N56">
        <v>80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 hidden="1" x14ac:dyDescent="0.25">
      <c r="A57" t="s">
        <v>112</v>
      </c>
      <c r="B57" t="s">
        <v>113</v>
      </c>
      <c r="C57" t="s">
        <v>113</v>
      </c>
      <c r="D57">
        <v>55437</v>
      </c>
      <c r="E57">
        <v>125</v>
      </c>
      <c r="F57">
        <v>63</v>
      </c>
      <c r="G57">
        <v>0</v>
      </c>
      <c r="H57">
        <v>55312</v>
      </c>
      <c r="I57">
        <v>67</v>
      </c>
      <c r="J57">
        <v>0</v>
      </c>
      <c r="K57">
        <v>0</v>
      </c>
      <c r="L57">
        <v>0</v>
      </c>
      <c r="M57">
        <v>0</v>
      </c>
      <c r="N57">
        <v>58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 hidden="1" x14ac:dyDescent="0.25">
      <c r="A58" t="s">
        <v>114</v>
      </c>
      <c r="B58" t="s">
        <v>115</v>
      </c>
      <c r="C58" t="s">
        <v>115</v>
      </c>
      <c r="D58">
        <v>49787</v>
      </c>
      <c r="E58">
        <v>342</v>
      </c>
      <c r="F58">
        <v>64</v>
      </c>
      <c r="G58">
        <v>0</v>
      </c>
      <c r="H58">
        <v>49455</v>
      </c>
      <c r="I58">
        <v>89</v>
      </c>
      <c r="J58">
        <v>0</v>
      </c>
      <c r="K58">
        <v>0</v>
      </c>
      <c r="L58">
        <v>0</v>
      </c>
      <c r="M58">
        <v>0</v>
      </c>
      <c r="N58">
        <v>242</v>
      </c>
      <c r="O58">
        <v>0</v>
      </c>
      <c r="P58">
        <v>0</v>
      </c>
      <c r="Q58">
        <v>0</v>
      </c>
      <c r="R58">
        <v>1</v>
      </c>
      <c r="S58">
        <v>0</v>
      </c>
      <c r="T58">
        <v>0</v>
      </c>
    </row>
    <row r="59" spans="1:20" hidden="1" x14ac:dyDescent="0.25">
      <c r="A59" t="s">
        <v>116</v>
      </c>
      <c r="B59" t="s">
        <v>117</v>
      </c>
      <c r="C59" t="s">
        <v>117</v>
      </c>
      <c r="D59">
        <v>27761</v>
      </c>
      <c r="E59">
        <v>1936</v>
      </c>
      <c r="F59">
        <v>40</v>
      </c>
      <c r="G59">
        <v>0</v>
      </c>
      <c r="H59">
        <v>25833</v>
      </c>
      <c r="I59">
        <v>658</v>
      </c>
      <c r="J59">
        <v>0</v>
      </c>
      <c r="K59">
        <v>0</v>
      </c>
      <c r="L59">
        <v>0</v>
      </c>
      <c r="M59">
        <v>0</v>
      </c>
      <c r="N59">
        <v>1270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 hidden="1" x14ac:dyDescent="0.25">
      <c r="A60" t="s">
        <v>118</v>
      </c>
      <c r="B60" t="s">
        <v>119</v>
      </c>
      <c r="C60" t="s">
        <v>119</v>
      </c>
      <c r="D60">
        <v>7563</v>
      </c>
      <c r="E60">
        <v>305</v>
      </c>
      <c r="F60">
        <v>15</v>
      </c>
      <c r="G60">
        <v>0</v>
      </c>
      <c r="H60">
        <v>7258</v>
      </c>
      <c r="I60">
        <v>45</v>
      </c>
      <c r="J60">
        <v>0</v>
      </c>
      <c r="K60">
        <v>0</v>
      </c>
      <c r="L60">
        <v>0</v>
      </c>
      <c r="M60">
        <v>0</v>
      </c>
      <c r="N60">
        <v>260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 hidden="1" x14ac:dyDescent="0.25">
      <c r="A61" t="s">
        <v>120</v>
      </c>
      <c r="B61" t="s">
        <v>121</v>
      </c>
      <c r="C61" t="s">
        <v>121</v>
      </c>
      <c r="D61">
        <v>31158</v>
      </c>
      <c r="E61">
        <v>192</v>
      </c>
      <c r="F61">
        <v>53</v>
      </c>
      <c r="G61">
        <v>0</v>
      </c>
      <c r="H61">
        <v>31046</v>
      </c>
      <c r="I61">
        <v>26</v>
      </c>
      <c r="J61">
        <v>0</v>
      </c>
      <c r="K61">
        <v>0</v>
      </c>
      <c r="L61">
        <v>0</v>
      </c>
      <c r="M61">
        <v>0</v>
      </c>
      <c r="N61">
        <v>67</v>
      </c>
      <c r="O61">
        <v>0</v>
      </c>
      <c r="P61">
        <v>0</v>
      </c>
      <c r="Q61">
        <v>0</v>
      </c>
      <c r="R61">
        <v>15</v>
      </c>
      <c r="S61">
        <v>4</v>
      </c>
      <c r="T61">
        <v>0</v>
      </c>
    </row>
    <row r="62" spans="1:20" hidden="1" x14ac:dyDescent="0.25">
      <c r="A62" t="s">
        <v>122</v>
      </c>
      <c r="B62" t="s">
        <v>123</v>
      </c>
      <c r="C62" t="s">
        <v>123</v>
      </c>
      <c r="D62">
        <v>25371</v>
      </c>
      <c r="E62">
        <v>4406</v>
      </c>
      <c r="F62">
        <v>41</v>
      </c>
      <c r="G62">
        <v>0</v>
      </c>
      <c r="H62">
        <v>20980</v>
      </c>
      <c r="I62">
        <v>2350</v>
      </c>
      <c r="J62">
        <v>0</v>
      </c>
      <c r="K62">
        <v>0</v>
      </c>
      <c r="L62">
        <v>0</v>
      </c>
      <c r="M62">
        <v>0</v>
      </c>
      <c r="N62">
        <v>2041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 spans="1:20" hidden="1" x14ac:dyDescent="0.25">
      <c r="A63" t="s">
        <v>124</v>
      </c>
      <c r="B63" t="s">
        <v>125</v>
      </c>
      <c r="C63" t="s">
        <v>125</v>
      </c>
      <c r="D63">
        <v>34497</v>
      </c>
      <c r="E63">
        <v>146</v>
      </c>
      <c r="F63">
        <v>43</v>
      </c>
      <c r="G63">
        <v>0</v>
      </c>
      <c r="H63">
        <v>34351</v>
      </c>
      <c r="I63">
        <v>58</v>
      </c>
      <c r="J63">
        <v>0</v>
      </c>
      <c r="K63">
        <v>0</v>
      </c>
      <c r="L63">
        <v>0</v>
      </c>
      <c r="M63">
        <v>0</v>
      </c>
      <c r="N63">
        <v>88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 spans="1:20" hidden="1" x14ac:dyDescent="0.25">
      <c r="A64" t="s">
        <v>126</v>
      </c>
      <c r="B64" t="s">
        <v>127</v>
      </c>
      <c r="C64" t="s">
        <v>127</v>
      </c>
      <c r="D64">
        <v>15853</v>
      </c>
      <c r="E64">
        <v>248</v>
      </c>
      <c r="F64">
        <v>31</v>
      </c>
      <c r="G64">
        <v>0</v>
      </c>
      <c r="H64">
        <v>15605</v>
      </c>
      <c r="I64">
        <v>153</v>
      </c>
      <c r="J64">
        <v>0</v>
      </c>
      <c r="K64">
        <v>0</v>
      </c>
      <c r="L64">
        <v>0</v>
      </c>
      <c r="M64">
        <v>0</v>
      </c>
      <c r="N64">
        <v>95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 hidden="1" x14ac:dyDescent="0.25">
      <c r="A65" t="s">
        <v>128</v>
      </c>
      <c r="B65" t="s">
        <v>129</v>
      </c>
      <c r="C65" t="s">
        <v>129</v>
      </c>
      <c r="D65">
        <v>3320</v>
      </c>
      <c r="E65">
        <v>269</v>
      </c>
      <c r="F65">
        <v>8</v>
      </c>
      <c r="G65">
        <v>0</v>
      </c>
      <c r="H65">
        <v>3051</v>
      </c>
      <c r="I65">
        <v>132</v>
      </c>
      <c r="J65">
        <v>0</v>
      </c>
      <c r="K65">
        <v>0</v>
      </c>
      <c r="L65">
        <v>0</v>
      </c>
      <c r="M65">
        <v>0</v>
      </c>
      <c r="N65">
        <v>137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 spans="1:20" hidden="1" x14ac:dyDescent="0.25">
      <c r="A66" t="s">
        <v>130</v>
      </c>
      <c r="B66" t="s">
        <v>131</v>
      </c>
      <c r="C66" t="s">
        <v>131</v>
      </c>
      <c r="D66">
        <v>2630</v>
      </c>
      <c r="E66">
        <v>10</v>
      </c>
      <c r="F66">
        <v>14</v>
      </c>
      <c r="G66">
        <v>0</v>
      </c>
      <c r="H66">
        <v>2620</v>
      </c>
      <c r="I66">
        <v>4</v>
      </c>
      <c r="J66">
        <v>0</v>
      </c>
      <c r="K66">
        <v>0</v>
      </c>
      <c r="L66">
        <v>0</v>
      </c>
      <c r="M66">
        <v>0</v>
      </c>
      <c r="N66">
        <v>6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 spans="1:20" hidden="1" x14ac:dyDescent="0.25">
      <c r="A67" t="s">
        <v>132</v>
      </c>
      <c r="B67" t="s">
        <v>133</v>
      </c>
      <c r="C67" t="s">
        <v>133</v>
      </c>
      <c r="D67">
        <v>38793</v>
      </c>
      <c r="E67">
        <v>1365</v>
      </c>
      <c r="F67">
        <v>71</v>
      </c>
      <c r="G67">
        <v>0</v>
      </c>
      <c r="H67">
        <v>37429</v>
      </c>
      <c r="I67">
        <v>428</v>
      </c>
      <c r="J67">
        <v>0</v>
      </c>
      <c r="K67">
        <v>0</v>
      </c>
      <c r="L67">
        <v>0</v>
      </c>
      <c r="M67">
        <v>0</v>
      </c>
      <c r="N67">
        <v>933</v>
      </c>
      <c r="O67">
        <v>0</v>
      </c>
      <c r="P67">
        <v>0</v>
      </c>
      <c r="Q67">
        <v>0</v>
      </c>
      <c r="R67">
        <v>2</v>
      </c>
      <c r="S67">
        <v>1</v>
      </c>
      <c r="T67">
        <v>0</v>
      </c>
    </row>
    <row r="68" spans="1:20" hidden="1" x14ac:dyDescent="0.25">
      <c r="A68" t="s">
        <v>134</v>
      </c>
      <c r="B68" t="s">
        <v>135</v>
      </c>
      <c r="C68" t="s">
        <v>135</v>
      </c>
      <c r="D68">
        <v>8612</v>
      </c>
      <c r="E68">
        <v>198</v>
      </c>
      <c r="F68">
        <v>36</v>
      </c>
      <c r="G68">
        <v>0</v>
      </c>
      <c r="H68">
        <v>8416</v>
      </c>
      <c r="I68">
        <v>15</v>
      </c>
      <c r="J68">
        <v>0</v>
      </c>
      <c r="K68">
        <v>0</v>
      </c>
      <c r="L68">
        <v>0</v>
      </c>
      <c r="M68">
        <v>0</v>
      </c>
      <c r="N68">
        <v>181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 spans="1:20" hidden="1" x14ac:dyDescent="0.25">
      <c r="A69" t="s">
        <v>136</v>
      </c>
      <c r="B69" t="s">
        <v>137</v>
      </c>
      <c r="C69" t="s">
        <v>137</v>
      </c>
      <c r="D69">
        <v>3556</v>
      </c>
      <c r="E69">
        <v>378</v>
      </c>
      <c r="F69">
        <v>15</v>
      </c>
      <c r="G69">
        <v>0</v>
      </c>
      <c r="H69">
        <v>3179</v>
      </c>
      <c r="I69">
        <v>89</v>
      </c>
      <c r="J69">
        <v>0</v>
      </c>
      <c r="K69">
        <v>0</v>
      </c>
      <c r="L69">
        <v>0</v>
      </c>
      <c r="M69">
        <v>0</v>
      </c>
      <c r="N69">
        <v>288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 spans="1:20" hidden="1" x14ac:dyDescent="0.25">
      <c r="A70" t="s">
        <v>138</v>
      </c>
      <c r="B70" t="s">
        <v>139</v>
      </c>
      <c r="C70" t="s">
        <v>139</v>
      </c>
      <c r="D70">
        <v>1748</v>
      </c>
      <c r="E70">
        <v>911</v>
      </c>
      <c r="F70">
        <v>4</v>
      </c>
      <c r="G70">
        <v>0</v>
      </c>
      <c r="H70">
        <v>842</v>
      </c>
      <c r="I70">
        <v>129</v>
      </c>
      <c r="J70">
        <v>0</v>
      </c>
      <c r="K70">
        <v>0</v>
      </c>
      <c r="L70">
        <v>0</v>
      </c>
      <c r="M70">
        <v>0</v>
      </c>
      <c r="N70">
        <v>774</v>
      </c>
      <c r="O70">
        <v>0</v>
      </c>
      <c r="P70">
        <v>0</v>
      </c>
      <c r="Q70">
        <v>0</v>
      </c>
      <c r="R70">
        <v>2</v>
      </c>
      <c r="S70">
        <v>1</v>
      </c>
      <c r="T70">
        <v>0</v>
      </c>
    </row>
    <row r="71" spans="1:20" hidden="1" x14ac:dyDescent="0.25">
      <c r="A71" t="s">
        <v>140</v>
      </c>
      <c r="B71" t="s">
        <v>141</v>
      </c>
      <c r="C71" t="s">
        <v>141</v>
      </c>
      <c r="D71">
        <v>27974</v>
      </c>
      <c r="E71">
        <v>5933</v>
      </c>
      <c r="F71">
        <v>38</v>
      </c>
      <c r="G71">
        <v>0</v>
      </c>
      <c r="H71">
        <v>22073</v>
      </c>
      <c r="I71">
        <v>2991</v>
      </c>
      <c r="J71">
        <v>0</v>
      </c>
      <c r="K71">
        <v>0</v>
      </c>
      <c r="L71">
        <v>0</v>
      </c>
      <c r="M71">
        <v>0</v>
      </c>
      <c r="N71">
        <v>2905</v>
      </c>
      <c r="O71">
        <v>0</v>
      </c>
      <c r="P71">
        <v>1</v>
      </c>
      <c r="Q71">
        <v>0</v>
      </c>
      <c r="R71">
        <v>1</v>
      </c>
      <c r="S71">
        <v>3</v>
      </c>
      <c r="T71">
        <v>0</v>
      </c>
    </row>
    <row r="72" spans="1:20" hidden="1" x14ac:dyDescent="0.25">
      <c r="A72" t="s">
        <v>142</v>
      </c>
      <c r="B72" t="s">
        <v>143</v>
      </c>
      <c r="C72" t="s">
        <v>143</v>
      </c>
      <c r="D72">
        <v>46407</v>
      </c>
      <c r="E72">
        <v>3185</v>
      </c>
      <c r="F72">
        <v>59</v>
      </c>
      <c r="G72">
        <v>0</v>
      </c>
      <c r="H72">
        <v>43226</v>
      </c>
      <c r="I72">
        <v>1551</v>
      </c>
      <c r="J72">
        <v>0</v>
      </c>
      <c r="K72">
        <v>0</v>
      </c>
      <c r="L72">
        <v>0</v>
      </c>
      <c r="M72">
        <v>0</v>
      </c>
      <c r="N72">
        <v>1617</v>
      </c>
      <c r="O72">
        <v>0</v>
      </c>
      <c r="P72">
        <v>2</v>
      </c>
      <c r="Q72">
        <v>0</v>
      </c>
      <c r="R72">
        <v>3</v>
      </c>
      <c r="S72">
        <v>8</v>
      </c>
      <c r="T72">
        <v>0</v>
      </c>
    </row>
    <row r="73" spans="1:20" hidden="1" x14ac:dyDescent="0.25">
      <c r="A73" t="s">
        <v>144</v>
      </c>
      <c r="B73" t="s">
        <v>145</v>
      </c>
      <c r="C73" t="s">
        <v>145</v>
      </c>
      <c r="D73">
        <v>33054</v>
      </c>
      <c r="E73">
        <v>8684</v>
      </c>
      <c r="F73">
        <v>53</v>
      </c>
      <c r="G73">
        <v>0</v>
      </c>
      <c r="H73">
        <v>24439</v>
      </c>
      <c r="I73">
        <v>3767</v>
      </c>
      <c r="J73">
        <v>0</v>
      </c>
      <c r="K73">
        <v>0</v>
      </c>
      <c r="L73">
        <v>0</v>
      </c>
      <c r="M73">
        <v>0</v>
      </c>
      <c r="N73">
        <v>4840</v>
      </c>
      <c r="O73">
        <v>0</v>
      </c>
      <c r="P73">
        <v>0</v>
      </c>
      <c r="Q73">
        <v>0</v>
      </c>
      <c r="R73">
        <v>4</v>
      </c>
      <c r="S73">
        <v>4</v>
      </c>
      <c r="T73">
        <v>0</v>
      </c>
    </row>
    <row r="74" spans="1:20" hidden="1" x14ac:dyDescent="0.25">
      <c r="A74" t="s">
        <v>146</v>
      </c>
      <c r="B74" t="s">
        <v>147</v>
      </c>
      <c r="C74" t="s">
        <v>147</v>
      </c>
      <c r="D74">
        <v>34574</v>
      </c>
      <c r="E74">
        <v>2654</v>
      </c>
      <c r="F74">
        <v>58</v>
      </c>
      <c r="G74">
        <v>0</v>
      </c>
      <c r="H74">
        <v>31925</v>
      </c>
      <c r="I74">
        <v>1060</v>
      </c>
      <c r="J74">
        <v>0</v>
      </c>
      <c r="K74">
        <v>0</v>
      </c>
      <c r="L74">
        <v>0</v>
      </c>
      <c r="M74">
        <v>0</v>
      </c>
      <c r="N74">
        <v>1559</v>
      </c>
      <c r="O74">
        <v>0</v>
      </c>
      <c r="P74">
        <v>23</v>
      </c>
      <c r="Q74">
        <v>0</v>
      </c>
      <c r="R74">
        <v>4</v>
      </c>
      <c r="S74">
        <v>3</v>
      </c>
      <c r="T74">
        <v>0</v>
      </c>
    </row>
    <row r="75" spans="1:20" hidden="1" x14ac:dyDescent="0.25">
      <c r="A75" t="s">
        <v>148</v>
      </c>
      <c r="B75" t="s">
        <v>149</v>
      </c>
      <c r="C75" t="s">
        <v>149</v>
      </c>
      <c r="D75">
        <v>45535</v>
      </c>
      <c r="E75">
        <v>1841</v>
      </c>
      <c r="F75">
        <v>77</v>
      </c>
      <c r="G75">
        <v>0</v>
      </c>
      <c r="H75">
        <v>43694</v>
      </c>
      <c r="I75">
        <v>1230</v>
      </c>
      <c r="J75">
        <v>0</v>
      </c>
      <c r="K75">
        <v>0</v>
      </c>
      <c r="L75">
        <v>0</v>
      </c>
      <c r="M75">
        <v>0</v>
      </c>
      <c r="N75">
        <v>611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 hidden="1" x14ac:dyDescent="0.25">
      <c r="A76" t="s">
        <v>150</v>
      </c>
      <c r="B76" t="s">
        <v>151</v>
      </c>
      <c r="C76" t="s">
        <v>151</v>
      </c>
      <c r="D76">
        <v>47193</v>
      </c>
      <c r="E76">
        <v>6841</v>
      </c>
      <c r="F76">
        <v>64</v>
      </c>
      <c r="G76">
        <v>0</v>
      </c>
      <c r="H76">
        <v>40404</v>
      </c>
      <c r="I76">
        <v>3220</v>
      </c>
      <c r="J76">
        <v>0</v>
      </c>
      <c r="K76">
        <v>0</v>
      </c>
      <c r="L76">
        <v>0</v>
      </c>
      <c r="M76">
        <v>0</v>
      </c>
      <c r="N76">
        <v>3534</v>
      </c>
      <c r="O76">
        <v>0</v>
      </c>
      <c r="P76">
        <v>33</v>
      </c>
      <c r="Q76">
        <v>0</v>
      </c>
      <c r="R76">
        <v>1</v>
      </c>
      <c r="S76">
        <v>1</v>
      </c>
      <c r="T76">
        <v>0</v>
      </c>
    </row>
    <row r="77" spans="1:20" hidden="1" x14ac:dyDescent="0.25">
      <c r="A77" t="s">
        <v>152</v>
      </c>
      <c r="B77" t="s">
        <v>153</v>
      </c>
      <c r="C77" t="s">
        <v>153</v>
      </c>
      <c r="D77">
        <v>41916</v>
      </c>
      <c r="E77">
        <v>3870</v>
      </c>
      <c r="F77">
        <v>55</v>
      </c>
      <c r="G77">
        <v>0</v>
      </c>
      <c r="H77">
        <v>38054</v>
      </c>
      <c r="I77">
        <v>2001</v>
      </c>
      <c r="J77">
        <v>0</v>
      </c>
      <c r="K77">
        <v>0</v>
      </c>
      <c r="L77">
        <v>0</v>
      </c>
      <c r="M77">
        <v>0</v>
      </c>
      <c r="N77">
        <v>1811</v>
      </c>
      <c r="O77">
        <v>0</v>
      </c>
      <c r="P77">
        <v>44</v>
      </c>
      <c r="Q77">
        <v>0</v>
      </c>
      <c r="R77">
        <v>3</v>
      </c>
      <c r="S77">
        <v>3</v>
      </c>
      <c r="T77">
        <v>0</v>
      </c>
    </row>
    <row r="78" spans="1:20" hidden="1" x14ac:dyDescent="0.25">
      <c r="A78" t="s">
        <v>154</v>
      </c>
      <c r="B78" t="s">
        <v>155</v>
      </c>
      <c r="C78" t="s">
        <v>155</v>
      </c>
      <c r="D78">
        <v>35136</v>
      </c>
      <c r="E78">
        <v>6198</v>
      </c>
      <c r="F78">
        <v>106</v>
      </c>
      <c r="G78">
        <v>0</v>
      </c>
      <c r="H78">
        <v>28959</v>
      </c>
      <c r="I78">
        <v>4028</v>
      </c>
      <c r="J78">
        <v>0</v>
      </c>
      <c r="K78">
        <v>0</v>
      </c>
      <c r="L78">
        <v>0</v>
      </c>
      <c r="M78">
        <v>0</v>
      </c>
      <c r="N78">
        <v>2148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</row>
    <row r="79" spans="1:20" hidden="1" x14ac:dyDescent="0.25">
      <c r="A79" t="s">
        <v>156</v>
      </c>
      <c r="B79" t="s">
        <v>157</v>
      </c>
      <c r="C79" t="s">
        <v>157</v>
      </c>
      <c r="D79">
        <v>37831</v>
      </c>
      <c r="E79">
        <v>2651</v>
      </c>
      <c r="F79">
        <v>57</v>
      </c>
      <c r="G79">
        <v>0</v>
      </c>
      <c r="H79">
        <v>35186</v>
      </c>
      <c r="I79">
        <v>1334</v>
      </c>
      <c r="J79">
        <v>0</v>
      </c>
      <c r="K79">
        <v>0</v>
      </c>
      <c r="L79">
        <v>0</v>
      </c>
      <c r="M79">
        <v>0</v>
      </c>
      <c r="N79">
        <v>1311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  <row r="80" spans="1:20" hidden="1" x14ac:dyDescent="0.25">
      <c r="A80" t="s">
        <v>158</v>
      </c>
      <c r="B80" t="s">
        <v>159</v>
      </c>
      <c r="C80" t="s">
        <v>159</v>
      </c>
      <c r="D80">
        <v>53365</v>
      </c>
      <c r="E80">
        <v>9801</v>
      </c>
      <c r="F80">
        <v>72</v>
      </c>
      <c r="G80">
        <v>0</v>
      </c>
      <c r="H80">
        <v>43595</v>
      </c>
      <c r="I80">
        <v>3993</v>
      </c>
      <c r="J80">
        <v>0</v>
      </c>
      <c r="K80">
        <v>0</v>
      </c>
      <c r="L80">
        <v>0</v>
      </c>
      <c r="M80">
        <v>0</v>
      </c>
      <c r="N80">
        <v>5772</v>
      </c>
      <c r="O80">
        <v>0</v>
      </c>
      <c r="P80">
        <v>0</v>
      </c>
      <c r="Q80">
        <v>0</v>
      </c>
      <c r="R80">
        <v>1</v>
      </c>
      <c r="S80">
        <v>4</v>
      </c>
      <c r="T80">
        <v>0</v>
      </c>
    </row>
    <row r="81" spans="1:20" hidden="1" x14ac:dyDescent="0.25">
      <c r="A81" t="s">
        <v>160</v>
      </c>
      <c r="B81" t="s">
        <v>161</v>
      </c>
      <c r="C81" t="s">
        <v>161</v>
      </c>
      <c r="D81">
        <v>44590</v>
      </c>
      <c r="E81">
        <v>11083</v>
      </c>
      <c r="F81">
        <v>71</v>
      </c>
      <c r="G81">
        <v>0</v>
      </c>
      <c r="H81">
        <v>33551</v>
      </c>
      <c r="I81">
        <v>6731</v>
      </c>
      <c r="J81">
        <v>0</v>
      </c>
      <c r="K81">
        <v>0</v>
      </c>
      <c r="L81">
        <v>0</v>
      </c>
      <c r="M81">
        <v>0</v>
      </c>
      <c r="N81">
        <v>4279</v>
      </c>
      <c r="O81">
        <v>0</v>
      </c>
      <c r="P81">
        <v>20</v>
      </c>
      <c r="Q81">
        <v>0</v>
      </c>
      <c r="R81">
        <v>4</v>
      </c>
      <c r="S81">
        <v>5</v>
      </c>
      <c r="T81">
        <v>0</v>
      </c>
    </row>
    <row r="82" spans="1:20" hidden="1" x14ac:dyDescent="0.25">
      <c r="A82" t="s">
        <v>162</v>
      </c>
      <c r="B82" t="s">
        <v>163</v>
      </c>
      <c r="C82" t="s">
        <v>163</v>
      </c>
      <c r="D82">
        <v>70079</v>
      </c>
      <c r="E82">
        <v>7204</v>
      </c>
      <c r="F82">
        <v>115</v>
      </c>
      <c r="G82">
        <v>0</v>
      </c>
      <c r="H82">
        <v>62926</v>
      </c>
      <c r="I82">
        <v>906</v>
      </c>
      <c r="J82">
        <v>0</v>
      </c>
      <c r="K82">
        <v>0</v>
      </c>
      <c r="L82">
        <v>0</v>
      </c>
      <c r="M82">
        <v>0</v>
      </c>
      <c r="N82">
        <v>6194</v>
      </c>
      <c r="O82">
        <v>0</v>
      </c>
      <c r="P82">
        <v>14</v>
      </c>
      <c r="Q82">
        <v>0</v>
      </c>
      <c r="R82">
        <v>21</v>
      </c>
      <c r="S82">
        <v>18</v>
      </c>
      <c r="T82">
        <v>0</v>
      </c>
    </row>
    <row r="83" spans="1:20" hidden="1" x14ac:dyDescent="0.25">
      <c r="A83" t="s">
        <v>164</v>
      </c>
      <c r="B83" t="s">
        <v>165</v>
      </c>
      <c r="C83" t="s">
        <v>165</v>
      </c>
      <c r="D83">
        <v>20332</v>
      </c>
      <c r="E83">
        <v>9</v>
      </c>
      <c r="F83">
        <v>28</v>
      </c>
      <c r="G83">
        <v>0</v>
      </c>
      <c r="H83">
        <v>20323</v>
      </c>
      <c r="I83">
        <v>8</v>
      </c>
      <c r="J83">
        <v>0</v>
      </c>
      <c r="K83">
        <v>0</v>
      </c>
      <c r="L83">
        <v>0</v>
      </c>
      <c r="M83">
        <v>0</v>
      </c>
      <c r="N83">
        <v>1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 spans="1:20" hidden="1" x14ac:dyDescent="0.25">
      <c r="A84" t="s">
        <v>166</v>
      </c>
      <c r="B84" t="s">
        <v>167</v>
      </c>
      <c r="C84" t="s">
        <v>167</v>
      </c>
      <c r="D84">
        <v>0</v>
      </c>
      <c r="E84">
        <v>0</v>
      </c>
      <c r="F84">
        <v>25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 spans="1:20" hidden="1" x14ac:dyDescent="0.25">
      <c r="A85" t="s">
        <v>168</v>
      </c>
      <c r="B85" t="s">
        <v>169</v>
      </c>
      <c r="C85" t="s">
        <v>169</v>
      </c>
      <c r="D85">
        <v>33964</v>
      </c>
      <c r="E85">
        <v>0</v>
      </c>
      <c r="F85">
        <v>35</v>
      </c>
      <c r="G85">
        <v>0</v>
      </c>
      <c r="H85">
        <v>33964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0" hidden="1" x14ac:dyDescent="0.25">
      <c r="A86" t="s">
        <v>170</v>
      </c>
      <c r="B86" t="s">
        <v>171</v>
      </c>
      <c r="C86" t="s">
        <v>171</v>
      </c>
      <c r="D86">
        <v>38043</v>
      </c>
      <c r="E86">
        <v>957</v>
      </c>
      <c r="F86">
        <v>55</v>
      </c>
      <c r="G86">
        <v>0</v>
      </c>
      <c r="H86">
        <v>37086</v>
      </c>
      <c r="I86">
        <v>553</v>
      </c>
      <c r="J86">
        <v>0</v>
      </c>
      <c r="K86">
        <v>0</v>
      </c>
      <c r="L86">
        <v>0</v>
      </c>
      <c r="M86">
        <v>0</v>
      </c>
      <c r="N86">
        <v>403</v>
      </c>
      <c r="O86">
        <v>0</v>
      </c>
      <c r="P86">
        <v>0</v>
      </c>
      <c r="Q86">
        <v>0</v>
      </c>
      <c r="R86">
        <v>0</v>
      </c>
      <c r="S86">
        <v>1</v>
      </c>
      <c r="T86">
        <v>0</v>
      </c>
    </row>
    <row r="87" spans="1:20" hidden="1" x14ac:dyDescent="0.25">
      <c r="A87" t="s">
        <v>172</v>
      </c>
      <c r="B87" t="s">
        <v>173</v>
      </c>
      <c r="C87" t="s">
        <v>173</v>
      </c>
      <c r="D87">
        <v>31502</v>
      </c>
      <c r="E87">
        <v>9</v>
      </c>
      <c r="F87">
        <v>39</v>
      </c>
      <c r="G87">
        <v>0</v>
      </c>
      <c r="H87">
        <v>31493</v>
      </c>
      <c r="I87">
        <v>0</v>
      </c>
      <c r="J87">
        <v>0</v>
      </c>
      <c r="K87">
        <v>0</v>
      </c>
      <c r="L87">
        <v>0</v>
      </c>
      <c r="M87">
        <v>0</v>
      </c>
      <c r="N87">
        <v>9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 spans="1:20" hidden="1" x14ac:dyDescent="0.25">
      <c r="A88" t="s">
        <v>174</v>
      </c>
      <c r="B88" t="s">
        <v>175</v>
      </c>
      <c r="C88" t="s">
        <v>175</v>
      </c>
      <c r="D88">
        <v>47426</v>
      </c>
      <c r="E88">
        <v>110</v>
      </c>
      <c r="F88">
        <v>62</v>
      </c>
      <c r="G88">
        <v>0</v>
      </c>
      <c r="H88">
        <v>47316</v>
      </c>
      <c r="I88">
        <v>85</v>
      </c>
      <c r="J88">
        <v>0</v>
      </c>
      <c r="K88">
        <v>0</v>
      </c>
      <c r="L88">
        <v>0</v>
      </c>
      <c r="M88">
        <v>0</v>
      </c>
      <c r="N88">
        <v>25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 spans="1:20" hidden="1" x14ac:dyDescent="0.25">
      <c r="A89" t="s">
        <v>176</v>
      </c>
      <c r="B89" t="s">
        <v>177</v>
      </c>
      <c r="C89" t="s">
        <v>177</v>
      </c>
      <c r="D89">
        <v>55571</v>
      </c>
      <c r="E89">
        <v>3</v>
      </c>
      <c r="F89">
        <v>72</v>
      </c>
      <c r="G89">
        <v>0</v>
      </c>
      <c r="H89">
        <v>55568</v>
      </c>
      <c r="I89">
        <v>0</v>
      </c>
      <c r="J89">
        <v>0</v>
      </c>
      <c r="K89">
        <v>0</v>
      </c>
      <c r="L89">
        <v>0</v>
      </c>
      <c r="M89">
        <v>0</v>
      </c>
      <c r="N89">
        <v>3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 spans="1:20" hidden="1" x14ac:dyDescent="0.25">
      <c r="A90" t="s">
        <v>178</v>
      </c>
      <c r="B90" t="s">
        <v>179</v>
      </c>
      <c r="C90" t="s">
        <v>179</v>
      </c>
      <c r="D90">
        <v>23177</v>
      </c>
      <c r="E90">
        <v>111</v>
      </c>
      <c r="F90">
        <v>45</v>
      </c>
      <c r="G90">
        <v>0</v>
      </c>
      <c r="H90">
        <v>23066</v>
      </c>
      <c r="I90">
        <v>107</v>
      </c>
      <c r="J90">
        <v>0</v>
      </c>
      <c r="K90">
        <v>0</v>
      </c>
      <c r="L90">
        <v>0</v>
      </c>
      <c r="M90">
        <v>0</v>
      </c>
      <c r="N90">
        <v>4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 spans="1:20" hidden="1" x14ac:dyDescent="0.25">
      <c r="A91" t="s">
        <v>180</v>
      </c>
      <c r="B91" t="s">
        <v>181</v>
      </c>
      <c r="C91" t="s">
        <v>181</v>
      </c>
      <c r="D91">
        <v>39551</v>
      </c>
      <c r="E91">
        <v>5</v>
      </c>
      <c r="F91">
        <v>57</v>
      </c>
      <c r="G91">
        <v>0</v>
      </c>
      <c r="H91">
        <v>39546</v>
      </c>
      <c r="I91">
        <v>0</v>
      </c>
      <c r="J91">
        <v>0</v>
      </c>
      <c r="K91">
        <v>0</v>
      </c>
      <c r="L91">
        <v>0</v>
      </c>
      <c r="M91">
        <v>0</v>
      </c>
      <c r="N91">
        <v>5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 spans="1:20" hidden="1" x14ac:dyDescent="0.25">
      <c r="A92" t="s">
        <v>182</v>
      </c>
      <c r="B92" t="s">
        <v>183</v>
      </c>
      <c r="C92" t="s">
        <v>183</v>
      </c>
      <c r="D92">
        <v>47540</v>
      </c>
      <c r="E92">
        <v>5</v>
      </c>
      <c r="F92">
        <v>66</v>
      </c>
      <c r="G92">
        <v>0</v>
      </c>
      <c r="H92">
        <v>47535</v>
      </c>
      <c r="I92">
        <v>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 spans="1:20" hidden="1" x14ac:dyDescent="0.25">
      <c r="A93" t="s">
        <v>184</v>
      </c>
      <c r="B93" t="s">
        <v>185</v>
      </c>
      <c r="C93" t="s">
        <v>185</v>
      </c>
      <c r="D93">
        <v>63483</v>
      </c>
      <c r="E93">
        <v>210</v>
      </c>
      <c r="F93">
        <v>107</v>
      </c>
      <c r="G93">
        <v>0</v>
      </c>
      <c r="H93">
        <v>63273</v>
      </c>
      <c r="I93">
        <v>13</v>
      </c>
      <c r="J93">
        <v>0</v>
      </c>
      <c r="K93">
        <v>0</v>
      </c>
      <c r="L93">
        <v>0</v>
      </c>
      <c r="M93">
        <v>0</v>
      </c>
      <c r="N93">
        <v>197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 spans="1:20" hidden="1" x14ac:dyDescent="0.25">
      <c r="A94" t="s">
        <v>186</v>
      </c>
      <c r="B94" t="s">
        <v>187</v>
      </c>
      <c r="C94" t="s">
        <v>187</v>
      </c>
      <c r="D94">
        <v>34726</v>
      </c>
      <c r="E94">
        <v>32</v>
      </c>
      <c r="F94">
        <v>60</v>
      </c>
      <c r="G94">
        <v>0</v>
      </c>
      <c r="H94">
        <v>34694</v>
      </c>
      <c r="I94">
        <v>1</v>
      </c>
      <c r="J94">
        <v>0</v>
      </c>
      <c r="K94">
        <v>0</v>
      </c>
      <c r="L94">
        <v>0</v>
      </c>
      <c r="M94">
        <v>0</v>
      </c>
      <c r="N94">
        <v>31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 spans="1:20" hidden="1" x14ac:dyDescent="0.25">
      <c r="A95" t="s">
        <v>188</v>
      </c>
      <c r="B95" t="s">
        <v>189</v>
      </c>
      <c r="C95" t="s">
        <v>189</v>
      </c>
      <c r="D95">
        <v>48615</v>
      </c>
      <c r="E95">
        <v>55</v>
      </c>
      <c r="F95">
        <v>76</v>
      </c>
      <c r="G95">
        <v>0</v>
      </c>
      <c r="H95">
        <v>48560</v>
      </c>
      <c r="I95">
        <v>1</v>
      </c>
      <c r="J95">
        <v>0</v>
      </c>
      <c r="K95">
        <v>0</v>
      </c>
      <c r="L95">
        <v>0</v>
      </c>
      <c r="M95">
        <v>0</v>
      </c>
      <c r="N95">
        <v>54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 spans="1:20" hidden="1" x14ac:dyDescent="0.25">
      <c r="A96" t="s">
        <v>190</v>
      </c>
      <c r="B96" t="s">
        <v>191</v>
      </c>
      <c r="C96" t="s">
        <v>191</v>
      </c>
      <c r="D96">
        <v>29221</v>
      </c>
      <c r="E96">
        <v>331</v>
      </c>
      <c r="F96">
        <v>41</v>
      </c>
      <c r="G96">
        <v>0</v>
      </c>
      <c r="H96">
        <v>28890</v>
      </c>
      <c r="I96">
        <v>149</v>
      </c>
      <c r="J96">
        <v>0</v>
      </c>
      <c r="K96">
        <v>0</v>
      </c>
      <c r="L96">
        <v>0</v>
      </c>
      <c r="M96">
        <v>0</v>
      </c>
      <c r="N96">
        <v>182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 spans="1:20" hidden="1" x14ac:dyDescent="0.25">
      <c r="A97" t="s">
        <v>192</v>
      </c>
      <c r="B97" t="s">
        <v>193</v>
      </c>
      <c r="C97" t="s">
        <v>193</v>
      </c>
      <c r="D97">
        <v>94980</v>
      </c>
      <c r="E97">
        <v>543</v>
      </c>
      <c r="F97">
        <v>126</v>
      </c>
      <c r="G97">
        <v>0</v>
      </c>
      <c r="H97">
        <v>94437</v>
      </c>
      <c r="I97">
        <v>405</v>
      </c>
      <c r="J97">
        <v>0</v>
      </c>
      <c r="K97">
        <v>0</v>
      </c>
      <c r="L97">
        <v>0</v>
      </c>
      <c r="M97">
        <v>0</v>
      </c>
      <c r="N97">
        <v>138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 spans="1:20" hidden="1" x14ac:dyDescent="0.25">
      <c r="A98" t="s">
        <v>194</v>
      </c>
      <c r="B98" t="s">
        <v>195</v>
      </c>
      <c r="C98" t="s">
        <v>195</v>
      </c>
      <c r="D98">
        <v>39419</v>
      </c>
      <c r="E98">
        <v>47</v>
      </c>
      <c r="F98">
        <v>50</v>
      </c>
      <c r="G98">
        <v>0</v>
      </c>
      <c r="H98">
        <v>39372</v>
      </c>
      <c r="I98">
        <v>15</v>
      </c>
      <c r="J98">
        <v>0</v>
      </c>
      <c r="K98">
        <v>0</v>
      </c>
      <c r="L98">
        <v>0</v>
      </c>
      <c r="M98">
        <v>0</v>
      </c>
      <c r="N98">
        <v>32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 hidden="1" x14ac:dyDescent="0.25">
      <c r="A99" t="s">
        <v>196</v>
      </c>
      <c r="B99" t="s">
        <v>197</v>
      </c>
      <c r="C99" t="s">
        <v>197</v>
      </c>
      <c r="D99">
        <v>77796</v>
      </c>
      <c r="E99">
        <v>97</v>
      </c>
      <c r="F99">
        <v>219</v>
      </c>
      <c r="G99">
        <v>0</v>
      </c>
      <c r="H99">
        <v>77699</v>
      </c>
      <c r="I99">
        <v>42</v>
      </c>
      <c r="J99">
        <v>0</v>
      </c>
      <c r="K99">
        <v>0</v>
      </c>
      <c r="L99">
        <v>0</v>
      </c>
      <c r="M99">
        <v>0</v>
      </c>
      <c r="N99">
        <v>55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 spans="1:20" hidden="1" x14ac:dyDescent="0.25">
      <c r="A100" t="s">
        <v>198</v>
      </c>
      <c r="B100" t="s">
        <v>199</v>
      </c>
      <c r="C100" t="s">
        <v>199</v>
      </c>
      <c r="D100">
        <v>16243</v>
      </c>
      <c r="E100">
        <v>89</v>
      </c>
      <c r="F100">
        <v>37</v>
      </c>
      <c r="G100">
        <v>0</v>
      </c>
      <c r="H100">
        <v>16156</v>
      </c>
      <c r="I100">
        <v>29</v>
      </c>
      <c r="J100">
        <v>0</v>
      </c>
      <c r="K100">
        <v>0</v>
      </c>
      <c r="L100">
        <v>0</v>
      </c>
      <c r="M100">
        <v>0</v>
      </c>
      <c r="N100">
        <v>57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</row>
    <row r="101" spans="1:20" hidden="1" x14ac:dyDescent="0.25">
      <c r="A101" t="s">
        <v>200</v>
      </c>
      <c r="B101" t="s">
        <v>201</v>
      </c>
      <c r="C101" t="s">
        <v>201</v>
      </c>
      <c r="D101">
        <v>30506</v>
      </c>
      <c r="E101">
        <v>2047</v>
      </c>
      <c r="F101">
        <v>54</v>
      </c>
      <c r="G101">
        <v>0</v>
      </c>
      <c r="H101">
        <v>28464</v>
      </c>
      <c r="I101">
        <v>813</v>
      </c>
      <c r="J101">
        <v>0</v>
      </c>
      <c r="K101">
        <v>0</v>
      </c>
      <c r="L101">
        <v>0</v>
      </c>
      <c r="M101">
        <v>0</v>
      </c>
      <c r="N101">
        <v>1229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 hidden="1" x14ac:dyDescent="0.25">
      <c r="A102" t="s">
        <v>202</v>
      </c>
      <c r="B102" t="s">
        <v>203</v>
      </c>
      <c r="C102" t="s">
        <v>203</v>
      </c>
      <c r="D102">
        <v>25250</v>
      </c>
      <c r="E102">
        <v>473</v>
      </c>
      <c r="F102">
        <v>36</v>
      </c>
      <c r="G102">
        <v>0</v>
      </c>
      <c r="H102">
        <v>24779</v>
      </c>
      <c r="I102">
        <v>309</v>
      </c>
      <c r="J102">
        <v>0</v>
      </c>
      <c r="K102">
        <v>0</v>
      </c>
      <c r="L102">
        <v>0</v>
      </c>
      <c r="M102">
        <v>0</v>
      </c>
      <c r="N102">
        <v>162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 hidden="1" x14ac:dyDescent="0.25">
      <c r="A103" t="s">
        <v>204</v>
      </c>
      <c r="B103" t="s">
        <v>205</v>
      </c>
      <c r="C103" t="s">
        <v>205</v>
      </c>
      <c r="D103">
        <v>15542</v>
      </c>
      <c r="E103">
        <v>1586</v>
      </c>
      <c r="F103">
        <v>22</v>
      </c>
      <c r="G103">
        <v>0</v>
      </c>
      <c r="H103">
        <v>13961</v>
      </c>
      <c r="I103">
        <v>911</v>
      </c>
      <c r="J103">
        <v>0</v>
      </c>
      <c r="K103">
        <v>0</v>
      </c>
      <c r="L103">
        <v>0</v>
      </c>
      <c r="M103">
        <v>0</v>
      </c>
      <c r="N103">
        <v>670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 spans="1:20" hidden="1" x14ac:dyDescent="0.25">
      <c r="A104" t="s">
        <v>206</v>
      </c>
      <c r="B104" t="s">
        <v>207</v>
      </c>
      <c r="C104" t="s">
        <v>207</v>
      </c>
      <c r="D104">
        <v>22341</v>
      </c>
      <c r="E104">
        <v>3025</v>
      </c>
      <c r="F104">
        <v>39</v>
      </c>
      <c r="G104">
        <v>0</v>
      </c>
      <c r="H104">
        <v>19325</v>
      </c>
      <c r="I104">
        <v>1729</v>
      </c>
      <c r="J104">
        <v>0</v>
      </c>
      <c r="K104">
        <v>0</v>
      </c>
      <c r="L104">
        <v>0</v>
      </c>
      <c r="M104">
        <v>0</v>
      </c>
      <c r="N104">
        <v>1190</v>
      </c>
      <c r="O104">
        <v>0</v>
      </c>
      <c r="P104">
        <v>88</v>
      </c>
      <c r="Q104">
        <v>0</v>
      </c>
      <c r="R104">
        <v>2</v>
      </c>
      <c r="S104">
        <v>7</v>
      </c>
      <c r="T104">
        <v>0</v>
      </c>
    </row>
    <row r="105" spans="1:20" hidden="1" x14ac:dyDescent="0.25">
      <c r="A105" t="s">
        <v>208</v>
      </c>
      <c r="B105" t="s">
        <v>209</v>
      </c>
      <c r="C105" t="s">
        <v>209</v>
      </c>
      <c r="D105">
        <v>25660</v>
      </c>
      <c r="E105">
        <v>636</v>
      </c>
      <c r="F105">
        <v>37</v>
      </c>
      <c r="G105">
        <v>0</v>
      </c>
      <c r="H105">
        <v>25026</v>
      </c>
      <c r="I105">
        <v>303</v>
      </c>
      <c r="J105">
        <v>0</v>
      </c>
      <c r="K105">
        <v>0</v>
      </c>
      <c r="L105">
        <v>0</v>
      </c>
      <c r="M105">
        <v>0</v>
      </c>
      <c r="N105">
        <v>331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 spans="1:20" hidden="1" x14ac:dyDescent="0.25">
      <c r="A106" t="s">
        <v>210</v>
      </c>
      <c r="B106" t="s">
        <v>211</v>
      </c>
      <c r="C106" t="s">
        <v>211</v>
      </c>
      <c r="D106">
        <v>69425</v>
      </c>
      <c r="E106">
        <v>55</v>
      </c>
      <c r="F106">
        <v>102</v>
      </c>
      <c r="G106">
        <v>0</v>
      </c>
      <c r="H106">
        <v>69370</v>
      </c>
      <c r="I106">
        <v>53</v>
      </c>
      <c r="J106">
        <v>0</v>
      </c>
      <c r="K106">
        <v>0</v>
      </c>
      <c r="L106">
        <v>0</v>
      </c>
      <c r="M106">
        <v>0</v>
      </c>
      <c r="N106">
        <v>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20" hidden="1" x14ac:dyDescent="0.25">
      <c r="A107" t="s">
        <v>212</v>
      </c>
      <c r="B107" t="s">
        <v>213</v>
      </c>
      <c r="C107" t="s">
        <v>213</v>
      </c>
      <c r="D107">
        <v>42751</v>
      </c>
      <c r="E107">
        <v>467</v>
      </c>
      <c r="F107">
        <v>66</v>
      </c>
      <c r="G107">
        <v>0</v>
      </c>
      <c r="H107">
        <v>42285</v>
      </c>
      <c r="I107">
        <v>371</v>
      </c>
      <c r="J107">
        <v>0</v>
      </c>
      <c r="K107">
        <v>0</v>
      </c>
      <c r="L107">
        <v>0</v>
      </c>
      <c r="M107">
        <v>0</v>
      </c>
      <c r="N107">
        <v>95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 spans="1:20" hidden="1" x14ac:dyDescent="0.25">
      <c r="A108" t="s">
        <v>214</v>
      </c>
      <c r="B108" t="s">
        <v>215</v>
      </c>
      <c r="C108" t="s">
        <v>215</v>
      </c>
      <c r="D108">
        <v>47154</v>
      </c>
      <c r="E108">
        <v>780</v>
      </c>
      <c r="F108">
        <v>61</v>
      </c>
      <c r="G108">
        <v>0</v>
      </c>
      <c r="H108">
        <v>46376</v>
      </c>
      <c r="I108">
        <v>454</v>
      </c>
      <c r="J108">
        <v>0</v>
      </c>
      <c r="K108">
        <v>0</v>
      </c>
      <c r="L108">
        <v>0</v>
      </c>
      <c r="M108">
        <v>0</v>
      </c>
      <c r="N108">
        <v>323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</row>
    <row r="109" spans="1:20" hidden="1" x14ac:dyDescent="0.25">
      <c r="A109" t="s">
        <v>216</v>
      </c>
      <c r="B109" t="s">
        <v>217</v>
      </c>
      <c r="C109" t="s">
        <v>217</v>
      </c>
      <c r="D109">
        <v>22479</v>
      </c>
      <c r="E109">
        <v>449</v>
      </c>
      <c r="F109">
        <v>31</v>
      </c>
      <c r="G109">
        <v>0</v>
      </c>
      <c r="H109">
        <v>22030</v>
      </c>
      <c r="I109">
        <v>314</v>
      </c>
      <c r="J109">
        <v>0</v>
      </c>
      <c r="K109">
        <v>0</v>
      </c>
      <c r="L109">
        <v>0</v>
      </c>
      <c r="M109">
        <v>0</v>
      </c>
      <c r="N109">
        <v>135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</row>
    <row r="110" spans="1:20" hidden="1" x14ac:dyDescent="0.25">
      <c r="A110" t="s">
        <v>218</v>
      </c>
      <c r="B110" t="s">
        <v>219</v>
      </c>
      <c r="C110" t="s">
        <v>219</v>
      </c>
      <c r="D110">
        <v>36730</v>
      </c>
      <c r="E110">
        <v>876</v>
      </c>
      <c r="F110">
        <v>61</v>
      </c>
      <c r="G110">
        <v>0</v>
      </c>
      <c r="H110">
        <v>35856</v>
      </c>
      <c r="I110">
        <v>477</v>
      </c>
      <c r="J110">
        <v>0</v>
      </c>
      <c r="K110">
        <v>0</v>
      </c>
      <c r="L110">
        <v>0</v>
      </c>
      <c r="M110">
        <v>0</v>
      </c>
      <c r="N110">
        <v>397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</row>
    <row r="111" spans="1:20" hidden="1" x14ac:dyDescent="0.25">
      <c r="A111" t="s">
        <v>220</v>
      </c>
      <c r="B111" t="s">
        <v>221</v>
      </c>
      <c r="C111" t="s">
        <v>221</v>
      </c>
      <c r="D111">
        <v>21081</v>
      </c>
      <c r="E111">
        <v>1139</v>
      </c>
      <c r="F111">
        <v>30</v>
      </c>
      <c r="G111">
        <v>0</v>
      </c>
      <c r="H111">
        <v>19946</v>
      </c>
      <c r="I111">
        <v>649</v>
      </c>
      <c r="J111">
        <v>0</v>
      </c>
      <c r="K111">
        <v>0</v>
      </c>
      <c r="L111">
        <v>0</v>
      </c>
      <c r="M111">
        <v>0</v>
      </c>
      <c r="N111">
        <v>484</v>
      </c>
      <c r="O111">
        <v>0</v>
      </c>
      <c r="P111">
        <v>0</v>
      </c>
      <c r="Q111">
        <v>0</v>
      </c>
      <c r="R111">
        <v>0</v>
      </c>
      <c r="S111">
        <v>2</v>
      </c>
      <c r="T111">
        <v>0</v>
      </c>
    </row>
    <row r="112" spans="1:20" hidden="1" x14ac:dyDescent="0.25">
      <c r="A112" t="s">
        <v>222</v>
      </c>
      <c r="B112" t="s">
        <v>223</v>
      </c>
      <c r="C112" t="s">
        <v>223</v>
      </c>
      <c r="D112">
        <v>28737</v>
      </c>
      <c r="E112">
        <v>1317</v>
      </c>
      <c r="F112">
        <v>50</v>
      </c>
      <c r="G112">
        <v>0</v>
      </c>
      <c r="H112">
        <v>27425</v>
      </c>
      <c r="I112">
        <v>737</v>
      </c>
      <c r="J112">
        <v>0</v>
      </c>
      <c r="K112">
        <v>0</v>
      </c>
      <c r="L112">
        <v>0</v>
      </c>
      <c r="M112">
        <v>0</v>
      </c>
      <c r="N112">
        <v>575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</row>
    <row r="113" spans="1:20" hidden="1" x14ac:dyDescent="0.25">
      <c r="A113" t="s">
        <v>224</v>
      </c>
      <c r="B113" t="s">
        <v>225</v>
      </c>
      <c r="C113" t="s">
        <v>225</v>
      </c>
      <c r="D113">
        <v>38221</v>
      </c>
      <c r="E113">
        <v>663</v>
      </c>
      <c r="F113">
        <v>48</v>
      </c>
      <c r="G113">
        <v>0</v>
      </c>
      <c r="H113">
        <v>37559</v>
      </c>
      <c r="I113">
        <v>383</v>
      </c>
      <c r="J113">
        <v>0</v>
      </c>
      <c r="K113">
        <v>0</v>
      </c>
      <c r="L113">
        <v>0</v>
      </c>
      <c r="M113">
        <v>0</v>
      </c>
      <c r="N113">
        <v>279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</row>
    <row r="114" spans="1:20" hidden="1" x14ac:dyDescent="0.25">
      <c r="A114" t="s">
        <v>226</v>
      </c>
      <c r="B114" t="s">
        <v>227</v>
      </c>
      <c r="C114" t="s">
        <v>227</v>
      </c>
      <c r="D114">
        <v>35662</v>
      </c>
      <c r="E114">
        <v>13</v>
      </c>
      <c r="F114">
        <v>54</v>
      </c>
      <c r="G114">
        <v>0</v>
      </c>
      <c r="H114">
        <v>35649</v>
      </c>
      <c r="I114">
        <v>13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</row>
    <row r="115" spans="1:20" hidden="1" x14ac:dyDescent="0.25">
      <c r="A115" t="s">
        <v>228</v>
      </c>
      <c r="B115" t="s">
        <v>229</v>
      </c>
      <c r="C115" t="s">
        <v>229</v>
      </c>
      <c r="D115">
        <v>68959</v>
      </c>
      <c r="E115">
        <v>78</v>
      </c>
      <c r="F115">
        <v>37</v>
      </c>
      <c r="G115">
        <v>0</v>
      </c>
      <c r="H115">
        <v>68881</v>
      </c>
      <c r="I115">
        <v>23</v>
      </c>
      <c r="J115">
        <v>0</v>
      </c>
      <c r="K115">
        <v>0</v>
      </c>
      <c r="L115">
        <v>0</v>
      </c>
      <c r="M115">
        <v>0</v>
      </c>
      <c r="N115">
        <v>55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</row>
    <row r="116" spans="1:20" hidden="1" x14ac:dyDescent="0.25">
      <c r="A116" t="s">
        <v>230</v>
      </c>
      <c r="B116" t="s">
        <v>231</v>
      </c>
      <c r="C116" t="s">
        <v>231</v>
      </c>
      <c r="D116">
        <v>14296</v>
      </c>
      <c r="E116">
        <v>133</v>
      </c>
      <c r="F116">
        <v>13</v>
      </c>
      <c r="G116">
        <v>0</v>
      </c>
      <c r="H116">
        <v>14165</v>
      </c>
      <c r="I116">
        <v>20</v>
      </c>
      <c r="J116">
        <v>0</v>
      </c>
      <c r="K116">
        <v>0</v>
      </c>
      <c r="L116">
        <v>0</v>
      </c>
      <c r="M116">
        <v>0</v>
      </c>
      <c r="N116">
        <v>111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</row>
    <row r="117" spans="1:20" hidden="1" x14ac:dyDescent="0.25">
      <c r="A117" t="s">
        <v>232</v>
      </c>
      <c r="B117" t="s">
        <v>233</v>
      </c>
      <c r="C117" t="s">
        <v>233</v>
      </c>
      <c r="D117">
        <v>45987</v>
      </c>
      <c r="E117">
        <v>626</v>
      </c>
      <c r="F117">
        <v>42</v>
      </c>
      <c r="G117">
        <v>0</v>
      </c>
      <c r="H117">
        <v>45362</v>
      </c>
      <c r="I117">
        <v>28</v>
      </c>
      <c r="J117">
        <v>0</v>
      </c>
      <c r="K117">
        <v>0</v>
      </c>
      <c r="L117">
        <v>0</v>
      </c>
      <c r="M117">
        <v>0</v>
      </c>
      <c r="N117">
        <v>595</v>
      </c>
      <c r="O117">
        <v>0</v>
      </c>
      <c r="P117">
        <v>0</v>
      </c>
      <c r="Q117">
        <v>0</v>
      </c>
      <c r="R117">
        <v>1</v>
      </c>
      <c r="S117">
        <v>1</v>
      </c>
      <c r="T117">
        <v>0</v>
      </c>
    </row>
    <row r="118" spans="1:20" hidden="1" x14ac:dyDescent="0.25">
      <c r="A118" t="s">
        <v>234</v>
      </c>
      <c r="B118" t="s">
        <v>235</v>
      </c>
      <c r="C118" t="s">
        <v>235</v>
      </c>
      <c r="D118">
        <v>29209</v>
      </c>
      <c r="E118">
        <v>194</v>
      </c>
      <c r="F118">
        <v>25</v>
      </c>
      <c r="G118">
        <v>0</v>
      </c>
      <c r="H118">
        <v>29016</v>
      </c>
      <c r="I118">
        <v>28</v>
      </c>
      <c r="J118">
        <v>0</v>
      </c>
      <c r="K118">
        <v>0</v>
      </c>
      <c r="L118">
        <v>0</v>
      </c>
      <c r="M118">
        <v>0</v>
      </c>
      <c r="N118">
        <v>165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</row>
    <row r="119" spans="1:20" hidden="1" x14ac:dyDescent="0.25">
      <c r="A119" t="s">
        <v>236</v>
      </c>
      <c r="B119" t="s">
        <v>237</v>
      </c>
      <c r="C119" t="s">
        <v>237</v>
      </c>
      <c r="D119">
        <v>31128</v>
      </c>
      <c r="E119">
        <v>677</v>
      </c>
      <c r="F119">
        <v>29</v>
      </c>
      <c r="G119">
        <v>0</v>
      </c>
      <c r="H119">
        <v>30452</v>
      </c>
      <c r="I119">
        <v>75</v>
      </c>
      <c r="J119">
        <v>0</v>
      </c>
      <c r="K119">
        <v>0</v>
      </c>
      <c r="L119">
        <v>0</v>
      </c>
      <c r="M119">
        <v>0</v>
      </c>
      <c r="N119">
        <v>594</v>
      </c>
      <c r="O119">
        <v>0</v>
      </c>
      <c r="P119">
        <v>2</v>
      </c>
      <c r="Q119">
        <v>0</v>
      </c>
      <c r="R119">
        <v>3</v>
      </c>
      <c r="S119">
        <v>2</v>
      </c>
      <c r="T119">
        <v>0</v>
      </c>
    </row>
    <row r="120" spans="1:20" hidden="1" x14ac:dyDescent="0.25">
      <c r="A120" t="s">
        <v>238</v>
      </c>
      <c r="B120" t="s">
        <v>239</v>
      </c>
      <c r="C120" t="s">
        <v>239</v>
      </c>
      <c r="D120">
        <v>20206</v>
      </c>
      <c r="E120">
        <v>921</v>
      </c>
      <c r="F120">
        <v>21</v>
      </c>
      <c r="G120">
        <v>0</v>
      </c>
      <c r="H120">
        <v>19288</v>
      </c>
      <c r="I120">
        <v>162</v>
      </c>
      <c r="J120">
        <v>0</v>
      </c>
      <c r="K120">
        <v>0</v>
      </c>
      <c r="L120">
        <v>0</v>
      </c>
      <c r="M120">
        <v>0</v>
      </c>
      <c r="N120">
        <v>748</v>
      </c>
      <c r="O120">
        <v>0</v>
      </c>
      <c r="P120">
        <v>0</v>
      </c>
      <c r="Q120">
        <v>0</v>
      </c>
      <c r="R120">
        <v>3</v>
      </c>
      <c r="S120">
        <v>5</v>
      </c>
      <c r="T120">
        <v>0</v>
      </c>
    </row>
    <row r="121" spans="1:20" hidden="1" x14ac:dyDescent="0.25">
      <c r="A121" t="s">
        <v>240</v>
      </c>
      <c r="B121" t="s">
        <v>241</v>
      </c>
      <c r="C121" t="s">
        <v>241</v>
      </c>
      <c r="D121">
        <v>27347</v>
      </c>
      <c r="E121">
        <v>155</v>
      </c>
      <c r="F121">
        <v>18</v>
      </c>
      <c r="G121">
        <v>0</v>
      </c>
      <c r="H121">
        <v>27192</v>
      </c>
      <c r="I121">
        <v>79</v>
      </c>
      <c r="J121">
        <v>0</v>
      </c>
      <c r="K121">
        <v>0</v>
      </c>
      <c r="L121">
        <v>0</v>
      </c>
      <c r="M121">
        <v>0</v>
      </c>
      <c r="N121">
        <v>76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</row>
    <row r="122" spans="1:20" hidden="1" x14ac:dyDescent="0.25">
      <c r="A122" t="s">
        <v>242</v>
      </c>
      <c r="B122" t="s">
        <v>243</v>
      </c>
      <c r="C122" t="s">
        <v>243</v>
      </c>
      <c r="D122">
        <v>48195</v>
      </c>
      <c r="E122">
        <v>34</v>
      </c>
      <c r="F122">
        <v>47</v>
      </c>
      <c r="G122">
        <v>0</v>
      </c>
      <c r="H122">
        <v>48161</v>
      </c>
      <c r="I122">
        <v>34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</row>
    <row r="123" spans="1:20" hidden="1" x14ac:dyDescent="0.25">
      <c r="A123" t="s">
        <v>244</v>
      </c>
      <c r="B123" t="s">
        <v>245</v>
      </c>
      <c r="C123" t="s">
        <v>245</v>
      </c>
      <c r="D123">
        <v>33883</v>
      </c>
      <c r="E123">
        <v>317</v>
      </c>
      <c r="F123">
        <v>34</v>
      </c>
      <c r="G123">
        <v>0</v>
      </c>
      <c r="H123">
        <v>33570</v>
      </c>
      <c r="I123">
        <v>87</v>
      </c>
      <c r="J123">
        <v>0</v>
      </c>
      <c r="K123">
        <v>0</v>
      </c>
      <c r="L123">
        <v>0</v>
      </c>
      <c r="M123">
        <v>0</v>
      </c>
      <c r="N123">
        <v>226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</row>
    <row r="124" spans="1:20" hidden="1" x14ac:dyDescent="0.25">
      <c r="A124" t="s">
        <v>246</v>
      </c>
      <c r="B124" t="s">
        <v>247</v>
      </c>
      <c r="C124" t="s">
        <v>247</v>
      </c>
      <c r="D124">
        <v>30509</v>
      </c>
      <c r="E124">
        <v>685</v>
      </c>
      <c r="F124">
        <v>24</v>
      </c>
      <c r="G124">
        <v>0</v>
      </c>
      <c r="H124">
        <v>29833</v>
      </c>
      <c r="I124">
        <v>73</v>
      </c>
      <c r="J124">
        <v>0</v>
      </c>
      <c r="K124">
        <v>0</v>
      </c>
      <c r="L124">
        <v>0</v>
      </c>
      <c r="M124">
        <v>0</v>
      </c>
      <c r="N124">
        <v>567</v>
      </c>
      <c r="O124">
        <v>0</v>
      </c>
      <c r="P124">
        <v>0</v>
      </c>
      <c r="Q124">
        <v>6</v>
      </c>
      <c r="R124">
        <v>23</v>
      </c>
      <c r="S124">
        <v>7</v>
      </c>
      <c r="T124">
        <v>0</v>
      </c>
    </row>
    <row r="125" spans="1:20" hidden="1" x14ac:dyDescent="0.25">
      <c r="A125" t="s">
        <v>248</v>
      </c>
      <c r="B125" t="s">
        <v>249</v>
      </c>
      <c r="C125" t="s">
        <v>249</v>
      </c>
      <c r="D125">
        <v>3445</v>
      </c>
      <c r="E125">
        <v>237</v>
      </c>
      <c r="F125">
        <v>7</v>
      </c>
      <c r="G125">
        <v>0</v>
      </c>
      <c r="H125">
        <v>3209</v>
      </c>
      <c r="I125">
        <v>2</v>
      </c>
      <c r="J125">
        <v>0</v>
      </c>
      <c r="K125">
        <v>0</v>
      </c>
      <c r="L125">
        <v>0</v>
      </c>
      <c r="M125">
        <v>0</v>
      </c>
      <c r="N125">
        <v>234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</row>
    <row r="126" spans="1:20" hidden="1" x14ac:dyDescent="0.25">
      <c r="A126" t="s">
        <v>250</v>
      </c>
      <c r="B126" t="s">
        <v>251</v>
      </c>
      <c r="C126" t="s">
        <v>251</v>
      </c>
      <c r="D126">
        <v>11727</v>
      </c>
      <c r="E126">
        <v>5</v>
      </c>
      <c r="F126">
        <v>12</v>
      </c>
      <c r="G126">
        <v>0</v>
      </c>
      <c r="H126">
        <v>11722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5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</row>
    <row r="127" spans="1:20" hidden="1" x14ac:dyDescent="0.25">
      <c r="A127" t="s">
        <v>252</v>
      </c>
      <c r="B127" t="s">
        <v>253</v>
      </c>
      <c r="C127" t="s">
        <v>253</v>
      </c>
      <c r="D127">
        <v>21271</v>
      </c>
      <c r="E127">
        <v>0</v>
      </c>
      <c r="F127">
        <v>60</v>
      </c>
      <c r="G127">
        <v>0</v>
      </c>
      <c r="H127">
        <v>21271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</row>
    <row r="128" spans="1:20" hidden="1" x14ac:dyDescent="0.25">
      <c r="A128" t="s">
        <v>254</v>
      </c>
      <c r="B128" t="s">
        <v>255</v>
      </c>
      <c r="C128" t="s">
        <v>255</v>
      </c>
      <c r="D128">
        <v>11946</v>
      </c>
      <c r="E128">
        <v>0</v>
      </c>
      <c r="F128">
        <v>18</v>
      </c>
      <c r="G128">
        <v>0</v>
      </c>
      <c r="H128">
        <v>11946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</row>
    <row r="129" spans="1:20" hidden="1" x14ac:dyDescent="0.25">
      <c r="A129" t="s">
        <v>256</v>
      </c>
      <c r="B129" t="s">
        <v>257</v>
      </c>
      <c r="C129" t="s">
        <v>257</v>
      </c>
      <c r="D129">
        <v>38911</v>
      </c>
      <c r="E129">
        <v>0</v>
      </c>
      <c r="F129">
        <v>64</v>
      </c>
      <c r="G129">
        <v>0</v>
      </c>
      <c r="H129">
        <v>38911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</row>
    <row r="130" spans="1:20" hidden="1" x14ac:dyDescent="0.25">
      <c r="A130" t="s">
        <v>258</v>
      </c>
      <c r="B130" t="s">
        <v>259</v>
      </c>
      <c r="C130" t="s">
        <v>259</v>
      </c>
      <c r="D130">
        <v>31369</v>
      </c>
      <c r="E130">
        <v>499</v>
      </c>
      <c r="F130">
        <v>70</v>
      </c>
      <c r="G130">
        <v>0</v>
      </c>
      <c r="H130">
        <v>31153</v>
      </c>
      <c r="I130">
        <v>47</v>
      </c>
      <c r="J130">
        <v>0</v>
      </c>
      <c r="K130">
        <v>1</v>
      </c>
      <c r="L130">
        <v>1</v>
      </c>
      <c r="M130">
        <v>0</v>
      </c>
      <c r="N130">
        <v>145</v>
      </c>
      <c r="O130">
        <v>0</v>
      </c>
      <c r="P130">
        <v>0</v>
      </c>
      <c r="Q130">
        <v>0</v>
      </c>
      <c r="R130">
        <v>6</v>
      </c>
      <c r="S130">
        <v>14</v>
      </c>
      <c r="T130">
        <v>1</v>
      </c>
    </row>
    <row r="131" spans="1:20" hidden="1" x14ac:dyDescent="0.25">
      <c r="A131" t="s">
        <v>260</v>
      </c>
      <c r="B131" t="s">
        <v>261</v>
      </c>
      <c r="C131" t="s">
        <v>261</v>
      </c>
      <c r="D131">
        <v>14193</v>
      </c>
      <c r="E131">
        <v>80</v>
      </c>
      <c r="F131">
        <v>39</v>
      </c>
      <c r="G131">
        <v>0</v>
      </c>
      <c r="H131">
        <v>14113</v>
      </c>
      <c r="I131">
        <v>7</v>
      </c>
      <c r="J131">
        <v>0</v>
      </c>
      <c r="K131">
        <v>0</v>
      </c>
      <c r="L131">
        <v>0</v>
      </c>
      <c r="M131">
        <v>0</v>
      </c>
      <c r="N131">
        <v>73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 spans="1:20" hidden="1" x14ac:dyDescent="0.25">
      <c r="A132" t="s">
        <v>262</v>
      </c>
      <c r="B132" t="s">
        <v>263</v>
      </c>
      <c r="C132" t="s">
        <v>263</v>
      </c>
      <c r="D132">
        <v>26808</v>
      </c>
      <c r="E132">
        <v>0</v>
      </c>
      <c r="F132">
        <v>51</v>
      </c>
      <c r="G132">
        <v>0</v>
      </c>
      <c r="H132">
        <v>26808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</row>
    <row r="133" spans="1:20" hidden="1" x14ac:dyDescent="0.25">
      <c r="A133" t="s">
        <v>264</v>
      </c>
      <c r="B133" t="s">
        <v>265</v>
      </c>
      <c r="C133" t="s">
        <v>265</v>
      </c>
      <c r="D133">
        <v>22672</v>
      </c>
      <c r="E133">
        <v>304</v>
      </c>
      <c r="F133">
        <v>65</v>
      </c>
      <c r="G133">
        <v>0</v>
      </c>
      <c r="H133">
        <v>22368</v>
      </c>
      <c r="I133">
        <v>37</v>
      </c>
      <c r="J133">
        <v>0</v>
      </c>
      <c r="K133">
        <v>0</v>
      </c>
      <c r="L133">
        <v>0</v>
      </c>
      <c r="M133">
        <v>0</v>
      </c>
      <c r="N133">
        <v>267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</row>
    <row r="134" spans="1:20" hidden="1" x14ac:dyDescent="0.25">
      <c r="A134" t="s">
        <v>266</v>
      </c>
      <c r="B134" t="s">
        <v>267</v>
      </c>
      <c r="C134" t="s">
        <v>267</v>
      </c>
      <c r="D134">
        <v>22470</v>
      </c>
      <c r="E134">
        <v>16</v>
      </c>
      <c r="F134">
        <v>44</v>
      </c>
      <c r="G134">
        <v>0</v>
      </c>
      <c r="H134">
        <v>22454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16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</row>
    <row r="135" spans="1:20" hidden="1" x14ac:dyDescent="0.25">
      <c r="A135" t="s">
        <v>268</v>
      </c>
      <c r="B135" t="s">
        <v>269</v>
      </c>
      <c r="C135" t="s">
        <v>269</v>
      </c>
      <c r="D135">
        <v>9544</v>
      </c>
      <c r="E135">
        <v>74</v>
      </c>
      <c r="F135">
        <v>21</v>
      </c>
      <c r="G135">
        <v>0</v>
      </c>
      <c r="H135">
        <v>9470</v>
      </c>
      <c r="I135">
        <v>19</v>
      </c>
      <c r="J135">
        <v>0</v>
      </c>
      <c r="K135">
        <v>0</v>
      </c>
      <c r="L135">
        <v>0</v>
      </c>
      <c r="M135">
        <v>0</v>
      </c>
      <c r="N135">
        <v>55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</row>
    <row r="136" spans="1:20" hidden="1" x14ac:dyDescent="0.25">
      <c r="A136" t="s">
        <v>270</v>
      </c>
      <c r="B136" t="s">
        <v>271</v>
      </c>
      <c r="C136" t="s">
        <v>271</v>
      </c>
      <c r="D136">
        <v>26877</v>
      </c>
      <c r="E136">
        <v>0</v>
      </c>
      <c r="F136">
        <v>67</v>
      </c>
      <c r="G136">
        <v>0</v>
      </c>
      <c r="H136">
        <v>26877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</row>
    <row r="137" spans="1:20" hidden="1" x14ac:dyDescent="0.25">
      <c r="A137" t="s">
        <v>272</v>
      </c>
      <c r="B137" t="s">
        <v>273</v>
      </c>
      <c r="C137" t="s">
        <v>273</v>
      </c>
      <c r="D137">
        <v>13595</v>
      </c>
      <c r="E137">
        <v>19</v>
      </c>
      <c r="F137">
        <v>33</v>
      </c>
      <c r="G137">
        <v>0</v>
      </c>
      <c r="H137">
        <v>13576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18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</row>
    <row r="138" spans="1:20" hidden="1" x14ac:dyDescent="0.25">
      <c r="A138" t="s">
        <v>274</v>
      </c>
      <c r="B138" t="s">
        <v>275</v>
      </c>
      <c r="C138" t="s">
        <v>275</v>
      </c>
      <c r="D138">
        <v>12207</v>
      </c>
      <c r="E138">
        <v>6</v>
      </c>
      <c r="F138">
        <v>55</v>
      </c>
      <c r="G138">
        <v>0</v>
      </c>
      <c r="H138">
        <v>12201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5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</row>
    <row r="139" spans="1:20" x14ac:dyDescent="0.25">
      <c r="A139" t="s">
        <v>276</v>
      </c>
      <c r="B139" t="s">
        <v>277</v>
      </c>
      <c r="C139" t="s">
        <v>277</v>
      </c>
      <c r="D139">
        <v>19355</v>
      </c>
      <c r="E139">
        <v>159</v>
      </c>
      <c r="F139">
        <v>32</v>
      </c>
      <c r="G139">
        <v>0</v>
      </c>
      <c r="H139">
        <v>19196</v>
      </c>
      <c r="I139">
        <v>115</v>
      </c>
      <c r="J139">
        <v>0</v>
      </c>
      <c r="K139">
        <v>0</v>
      </c>
      <c r="L139">
        <v>0</v>
      </c>
      <c r="M139">
        <v>0</v>
      </c>
      <c r="N139">
        <v>44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</row>
    <row r="140" spans="1:20" x14ac:dyDescent="0.25">
      <c r="A140" t="s">
        <v>278</v>
      </c>
      <c r="B140" t="s">
        <v>279</v>
      </c>
      <c r="C140" t="s">
        <v>279</v>
      </c>
      <c r="D140">
        <v>18671</v>
      </c>
      <c r="E140">
        <v>10</v>
      </c>
      <c r="F140">
        <v>31</v>
      </c>
      <c r="G140">
        <v>0</v>
      </c>
      <c r="H140">
        <v>18661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</row>
    <row r="141" spans="1:20" x14ac:dyDescent="0.25">
      <c r="A141" t="s">
        <v>280</v>
      </c>
      <c r="B141" t="s">
        <v>281</v>
      </c>
      <c r="C141" t="s">
        <v>281</v>
      </c>
      <c r="D141">
        <v>31426</v>
      </c>
      <c r="E141">
        <v>6467</v>
      </c>
      <c r="F141">
        <v>51</v>
      </c>
      <c r="G141">
        <v>0</v>
      </c>
      <c r="H141">
        <v>24968</v>
      </c>
      <c r="I141">
        <v>2226</v>
      </c>
      <c r="J141">
        <v>0</v>
      </c>
      <c r="K141">
        <v>0</v>
      </c>
      <c r="L141">
        <v>0</v>
      </c>
      <c r="M141">
        <v>0</v>
      </c>
      <c r="N141">
        <v>4222</v>
      </c>
      <c r="O141">
        <v>0</v>
      </c>
      <c r="P141">
        <v>0</v>
      </c>
      <c r="Q141">
        <v>0</v>
      </c>
      <c r="R141">
        <v>2</v>
      </c>
      <c r="S141">
        <v>8</v>
      </c>
      <c r="T141">
        <v>0</v>
      </c>
    </row>
    <row r="142" spans="1:20" x14ac:dyDescent="0.25">
      <c r="A142" t="s">
        <v>282</v>
      </c>
      <c r="B142" t="s">
        <v>283</v>
      </c>
      <c r="C142" t="s">
        <v>283</v>
      </c>
      <c r="D142">
        <v>34601</v>
      </c>
      <c r="E142">
        <v>2305</v>
      </c>
      <c r="F142">
        <v>61</v>
      </c>
      <c r="G142">
        <v>0</v>
      </c>
      <c r="H142">
        <v>32296</v>
      </c>
      <c r="I142">
        <v>1294</v>
      </c>
      <c r="J142">
        <v>0</v>
      </c>
      <c r="K142">
        <v>0</v>
      </c>
      <c r="L142">
        <v>0</v>
      </c>
      <c r="M142">
        <v>0</v>
      </c>
      <c r="N142">
        <v>1011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</row>
    <row r="143" spans="1:20" x14ac:dyDescent="0.25">
      <c r="A143" t="s">
        <v>284</v>
      </c>
      <c r="B143" t="s">
        <v>285</v>
      </c>
      <c r="C143" t="s">
        <v>285</v>
      </c>
      <c r="D143">
        <v>27618</v>
      </c>
      <c r="E143">
        <v>5176</v>
      </c>
      <c r="F143">
        <v>38</v>
      </c>
      <c r="G143">
        <v>0</v>
      </c>
      <c r="H143">
        <v>22462</v>
      </c>
      <c r="I143">
        <v>2694</v>
      </c>
      <c r="J143">
        <v>0</v>
      </c>
      <c r="K143">
        <v>0</v>
      </c>
      <c r="L143">
        <v>0</v>
      </c>
      <c r="M143">
        <v>0</v>
      </c>
      <c r="N143">
        <v>2462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</row>
    <row r="144" spans="1:20" x14ac:dyDescent="0.25">
      <c r="A144" t="s">
        <v>286</v>
      </c>
      <c r="B144" t="s">
        <v>287</v>
      </c>
      <c r="C144" t="s">
        <v>287</v>
      </c>
      <c r="D144">
        <v>13484</v>
      </c>
      <c r="E144">
        <v>240</v>
      </c>
      <c r="F144">
        <v>34</v>
      </c>
      <c r="G144">
        <v>0</v>
      </c>
      <c r="H144">
        <v>13244</v>
      </c>
      <c r="I144">
        <v>160</v>
      </c>
      <c r="J144">
        <v>0</v>
      </c>
      <c r="K144">
        <v>0</v>
      </c>
      <c r="L144">
        <v>0</v>
      </c>
      <c r="M144">
        <v>0</v>
      </c>
      <c r="N144">
        <v>80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</row>
    <row r="145" spans="1:20" x14ac:dyDescent="0.25">
      <c r="A145" t="s">
        <v>288</v>
      </c>
      <c r="B145" t="s">
        <v>289</v>
      </c>
      <c r="C145" t="s">
        <v>289</v>
      </c>
      <c r="D145">
        <v>46224</v>
      </c>
      <c r="E145">
        <v>759</v>
      </c>
      <c r="F145">
        <v>65</v>
      </c>
      <c r="G145">
        <v>0</v>
      </c>
      <c r="H145">
        <v>45466</v>
      </c>
      <c r="I145">
        <v>546</v>
      </c>
      <c r="J145">
        <v>0</v>
      </c>
      <c r="K145">
        <v>0</v>
      </c>
      <c r="L145">
        <v>0</v>
      </c>
      <c r="M145">
        <v>0</v>
      </c>
      <c r="N145">
        <v>212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</row>
    <row r="146" spans="1:20" x14ac:dyDescent="0.25">
      <c r="A146" t="s">
        <v>290</v>
      </c>
      <c r="B146" t="s">
        <v>291</v>
      </c>
      <c r="C146" t="s">
        <v>291</v>
      </c>
      <c r="D146">
        <v>32187</v>
      </c>
      <c r="E146">
        <v>330</v>
      </c>
      <c r="F146">
        <v>42</v>
      </c>
      <c r="G146">
        <v>0</v>
      </c>
      <c r="H146">
        <v>31857</v>
      </c>
      <c r="I146">
        <v>255</v>
      </c>
      <c r="J146">
        <v>0</v>
      </c>
      <c r="K146">
        <v>0</v>
      </c>
      <c r="L146">
        <v>0</v>
      </c>
      <c r="M146">
        <v>0</v>
      </c>
      <c r="N146">
        <v>75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</row>
    <row r="147" spans="1:20" x14ac:dyDescent="0.25">
      <c r="A147" t="s">
        <v>292</v>
      </c>
      <c r="B147" t="s">
        <v>293</v>
      </c>
      <c r="C147" t="s">
        <v>293</v>
      </c>
      <c r="D147">
        <v>18646</v>
      </c>
      <c r="E147">
        <v>452</v>
      </c>
      <c r="F147">
        <v>61</v>
      </c>
      <c r="G147">
        <v>0</v>
      </c>
      <c r="H147">
        <v>18194</v>
      </c>
      <c r="I147">
        <v>246</v>
      </c>
      <c r="J147">
        <v>0</v>
      </c>
      <c r="K147">
        <v>0</v>
      </c>
      <c r="L147">
        <v>0</v>
      </c>
      <c r="M147">
        <v>0</v>
      </c>
      <c r="N147">
        <v>206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</row>
    <row r="148" spans="1:20" x14ac:dyDescent="0.25">
      <c r="A148" t="s">
        <v>294</v>
      </c>
      <c r="B148" t="s">
        <v>295</v>
      </c>
      <c r="C148" t="s">
        <v>295</v>
      </c>
      <c r="D148">
        <v>31551</v>
      </c>
      <c r="E148">
        <v>1747</v>
      </c>
      <c r="F148">
        <v>56</v>
      </c>
      <c r="G148">
        <v>0</v>
      </c>
      <c r="H148">
        <v>29806</v>
      </c>
      <c r="I148">
        <v>878</v>
      </c>
      <c r="J148">
        <v>0</v>
      </c>
      <c r="K148">
        <v>0</v>
      </c>
      <c r="L148">
        <v>0</v>
      </c>
      <c r="M148">
        <v>0</v>
      </c>
      <c r="N148">
        <v>867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</row>
    <row r="149" spans="1:20" x14ac:dyDescent="0.25">
      <c r="A149" t="s">
        <v>296</v>
      </c>
      <c r="B149" t="s">
        <v>297</v>
      </c>
      <c r="C149" t="s">
        <v>297</v>
      </c>
      <c r="D149">
        <v>17579</v>
      </c>
      <c r="E149">
        <v>1466</v>
      </c>
      <c r="F149">
        <v>23</v>
      </c>
      <c r="G149">
        <v>0</v>
      </c>
      <c r="H149">
        <v>16113</v>
      </c>
      <c r="I149">
        <v>734</v>
      </c>
      <c r="J149">
        <v>0</v>
      </c>
      <c r="K149">
        <v>0</v>
      </c>
      <c r="L149">
        <v>0</v>
      </c>
      <c r="M149">
        <v>0</v>
      </c>
      <c r="N149">
        <v>732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</row>
    <row r="150" spans="1:20" x14ac:dyDescent="0.25">
      <c r="A150" t="s">
        <v>298</v>
      </c>
      <c r="B150" t="s">
        <v>299</v>
      </c>
      <c r="C150" t="s">
        <v>299</v>
      </c>
      <c r="D150">
        <v>31966</v>
      </c>
      <c r="E150">
        <v>1122</v>
      </c>
      <c r="F150">
        <v>49</v>
      </c>
      <c r="G150">
        <v>0</v>
      </c>
      <c r="H150">
        <v>30846</v>
      </c>
      <c r="I150">
        <v>536</v>
      </c>
      <c r="J150">
        <v>0</v>
      </c>
      <c r="K150">
        <v>0</v>
      </c>
      <c r="L150">
        <v>0</v>
      </c>
      <c r="M150">
        <v>0</v>
      </c>
      <c r="N150">
        <v>584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</row>
    <row r="151" spans="1:20" x14ac:dyDescent="0.25">
      <c r="A151" t="s">
        <v>300</v>
      </c>
      <c r="B151" t="s">
        <v>301</v>
      </c>
      <c r="C151" t="s">
        <v>301</v>
      </c>
      <c r="D151">
        <v>27224</v>
      </c>
      <c r="E151">
        <v>1066</v>
      </c>
      <c r="F151">
        <v>40</v>
      </c>
      <c r="G151">
        <v>0</v>
      </c>
      <c r="H151">
        <v>26158</v>
      </c>
      <c r="I151">
        <v>1022</v>
      </c>
      <c r="J151">
        <v>0</v>
      </c>
      <c r="K151">
        <v>0</v>
      </c>
      <c r="L151">
        <v>0</v>
      </c>
      <c r="M151">
        <v>0</v>
      </c>
      <c r="N151">
        <v>44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</row>
    <row r="152" spans="1:20" x14ac:dyDescent="0.25">
      <c r="A152" t="s">
        <v>302</v>
      </c>
      <c r="B152" t="s">
        <v>303</v>
      </c>
      <c r="C152" t="s">
        <v>303</v>
      </c>
      <c r="D152">
        <v>34679</v>
      </c>
      <c r="E152">
        <v>629</v>
      </c>
      <c r="F152">
        <v>54</v>
      </c>
      <c r="G152">
        <v>0</v>
      </c>
      <c r="H152">
        <v>34050</v>
      </c>
      <c r="I152">
        <v>228</v>
      </c>
      <c r="J152">
        <v>0</v>
      </c>
      <c r="K152">
        <v>0</v>
      </c>
      <c r="L152">
        <v>0</v>
      </c>
      <c r="M152">
        <v>0</v>
      </c>
      <c r="N152">
        <v>401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</row>
    <row r="153" spans="1:20" x14ac:dyDescent="0.25">
      <c r="A153" t="s">
        <v>304</v>
      </c>
      <c r="B153" t="s">
        <v>305</v>
      </c>
      <c r="C153" t="s">
        <v>305</v>
      </c>
      <c r="D153">
        <v>46243</v>
      </c>
      <c r="E153">
        <v>224</v>
      </c>
      <c r="F153">
        <v>73</v>
      </c>
      <c r="G153">
        <v>0</v>
      </c>
      <c r="H153">
        <v>46019</v>
      </c>
      <c r="I153">
        <v>181</v>
      </c>
      <c r="J153">
        <v>0</v>
      </c>
      <c r="K153">
        <v>0</v>
      </c>
      <c r="L153">
        <v>0</v>
      </c>
      <c r="M153">
        <v>0</v>
      </c>
      <c r="N153">
        <v>43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</row>
    <row r="154" spans="1:20" x14ac:dyDescent="0.25">
      <c r="A154" t="s">
        <v>306</v>
      </c>
      <c r="B154" t="s">
        <v>307</v>
      </c>
      <c r="C154" t="s">
        <v>307</v>
      </c>
      <c r="D154">
        <v>10791</v>
      </c>
      <c r="E154">
        <v>75</v>
      </c>
      <c r="F154">
        <v>16</v>
      </c>
      <c r="G154">
        <v>0</v>
      </c>
      <c r="H154">
        <v>10716</v>
      </c>
      <c r="I154">
        <v>8</v>
      </c>
      <c r="J154">
        <v>0</v>
      </c>
      <c r="K154">
        <v>0</v>
      </c>
      <c r="L154">
        <v>0</v>
      </c>
      <c r="M154">
        <v>0</v>
      </c>
      <c r="N154">
        <v>67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</row>
    <row r="155" spans="1:20" x14ac:dyDescent="0.25">
      <c r="A155" t="s">
        <v>308</v>
      </c>
      <c r="B155" t="s">
        <v>309</v>
      </c>
      <c r="C155" t="s">
        <v>309</v>
      </c>
      <c r="D155">
        <v>12692</v>
      </c>
      <c r="E155">
        <v>1749</v>
      </c>
      <c r="F155">
        <v>41</v>
      </c>
      <c r="G155">
        <v>0</v>
      </c>
      <c r="H155">
        <v>10945</v>
      </c>
      <c r="I155">
        <v>515</v>
      </c>
      <c r="J155">
        <v>0</v>
      </c>
      <c r="K155">
        <v>0</v>
      </c>
      <c r="L155">
        <v>0</v>
      </c>
      <c r="M155">
        <v>0</v>
      </c>
      <c r="N155">
        <v>1232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</row>
    <row r="156" spans="1:20" x14ac:dyDescent="0.25">
      <c r="A156" t="s">
        <v>310</v>
      </c>
      <c r="B156" t="s">
        <v>311</v>
      </c>
      <c r="C156" t="s">
        <v>311</v>
      </c>
      <c r="D156">
        <v>18744</v>
      </c>
      <c r="E156">
        <v>1293</v>
      </c>
      <c r="F156">
        <v>42</v>
      </c>
      <c r="G156">
        <v>0</v>
      </c>
      <c r="H156">
        <v>17454</v>
      </c>
      <c r="I156">
        <v>134</v>
      </c>
      <c r="J156">
        <v>0</v>
      </c>
      <c r="K156">
        <v>0</v>
      </c>
      <c r="L156">
        <v>0</v>
      </c>
      <c r="M156">
        <v>0</v>
      </c>
      <c r="N156">
        <v>1019</v>
      </c>
      <c r="O156">
        <v>0</v>
      </c>
      <c r="P156">
        <v>137</v>
      </c>
      <c r="Q156">
        <v>0</v>
      </c>
      <c r="R156">
        <v>0</v>
      </c>
      <c r="S156">
        <v>0</v>
      </c>
      <c r="T156">
        <v>0</v>
      </c>
    </row>
    <row r="157" spans="1:20" x14ac:dyDescent="0.25">
      <c r="A157" t="s">
        <v>312</v>
      </c>
      <c r="B157" t="s">
        <v>313</v>
      </c>
      <c r="C157" t="s">
        <v>313</v>
      </c>
      <c r="D157">
        <v>10922</v>
      </c>
      <c r="E157">
        <v>1089</v>
      </c>
      <c r="F157">
        <v>33</v>
      </c>
      <c r="G157">
        <v>0</v>
      </c>
      <c r="H157">
        <v>9837</v>
      </c>
      <c r="I157">
        <v>212</v>
      </c>
      <c r="J157">
        <v>0</v>
      </c>
      <c r="K157">
        <v>0</v>
      </c>
      <c r="L157">
        <v>0</v>
      </c>
      <c r="M157">
        <v>0</v>
      </c>
      <c r="N157">
        <v>844</v>
      </c>
      <c r="O157">
        <v>0</v>
      </c>
      <c r="P157">
        <v>29</v>
      </c>
      <c r="Q157">
        <v>0</v>
      </c>
      <c r="R157">
        <v>0</v>
      </c>
      <c r="S157">
        <v>0</v>
      </c>
      <c r="T157">
        <v>0</v>
      </c>
    </row>
    <row r="158" spans="1:20" x14ac:dyDescent="0.25">
      <c r="A158" t="s">
        <v>314</v>
      </c>
      <c r="B158" t="s">
        <v>315</v>
      </c>
      <c r="C158" t="s">
        <v>315</v>
      </c>
      <c r="D158">
        <v>4577</v>
      </c>
      <c r="E158">
        <v>321</v>
      </c>
      <c r="F158">
        <v>18</v>
      </c>
      <c r="G158">
        <v>0</v>
      </c>
      <c r="H158">
        <v>4258</v>
      </c>
      <c r="I158">
        <v>112</v>
      </c>
      <c r="J158">
        <v>0</v>
      </c>
      <c r="K158">
        <v>0</v>
      </c>
      <c r="L158">
        <v>0</v>
      </c>
      <c r="M158">
        <v>0</v>
      </c>
      <c r="N158">
        <v>207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</row>
    <row r="159" spans="1:20" x14ac:dyDescent="0.25">
      <c r="A159" t="s">
        <v>316</v>
      </c>
      <c r="B159" t="s">
        <v>317</v>
      </c>
      <c r="C159" t="s">
        <v>317</v>
      </c>
      <c r="D159">
        <v>16278</v>
      </c>
      <c r="E159">
        <v>83</v>
      </c>
      <c r="F159">
        <v>39</v>
      </c>
      <c r="G159">
        <v>0</v>
      </c>
      <c r="H159">
        <v>16195</v>
      </c>
      <c r="I159">
        <v>3</v>
      </c>
      <c r="J159">
        <v>0</v>
      </c>
      <c r="K159">
        <v>0</v>
      </c>
      <c r="L159">
        <v>0</v>
      </c>
      <c r="M159">
        <v>0</v>
      </c>
      <c r="N159">
        <v>80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</row>
    <row r="160" spans="1:20" x14ac:dyDescent="0.25">
      <c r="A160" t="s">
        <v>318</v>
      </c>
      <c r="B160" t="s">
        <v>319</v>
      </c>
      <c r="C160" t="s">
        <v>319</v>
      </c>
      <c r="D160">
        <v>10050</v>
      </c>
      <c r="E160">
        <v>194</v>
      </c>
      <c r="F160">
        <v>22</v>
      </c>
      <c r="G160">
        <v>0</v>
      </c>
      <c r="H160">
        <v>9856</v>
      </c>
      <c r="I160">
        <v>15</v>
      </c>
      <c r="J160">
        <v>0</v>
      </c>
      <c r="K160">
        <v>0</v>
      </c>
      <c r="L160">
        <v>0</v>
      </c>
      <c r="M160">
        <v>0</v>
      </c>
      <c r="N160">
        <v>179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</row>
    <row r="161" spans="1:20" hidden="1" x14ac:dyDescent="0.25">
      <c r="A161" t="s">
        <v>320</v>
      </c>
      <c r="B161" t="s">
        <v>321</v>
      </c>
      <c r="C161" t="s">
        <v>321</v>
      </c>
      <c r="D161">
        <v>38713</v>
      </c>
      <c r="E161">
        <v>1797</v>
      </c>
      <c r="F161">
        <v>73</v>
      </c>
      <c r="G161">
        <v>0</v>
      </c>
      <c r="H161">
        <v>36918</v>
      </c>
      <c r="I161">
        <v>823</v>
      </c>
      <c r="J161">
        <v>0</v>
      </c>
      <c r="K161">
        <v>0</v>
      </c>
      <c r="L161">
        <v>0</v>
      </c>
      <c r="M161">
        <v>0</v>
      </c>
      <c r="N161">
        <v>972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</row>
    <row r="162" spans="1:20" hidden="1" x14ac:dyDescent="0.25">
      <c r="A162" t="s">
        <v>322</v>
      </c>
      <c r="B162" t="s">
        <v>323</v>
      </c>
      <c r="C162" t="s">
        <v>323</v>
      </c>
      <c r="D162">
        <v>37368</v>
      </c>
      <c r="E162">
        <v>71</v>
      </c>
      <c r="F162">
        <v>51</v>
      </c>
      <c r="G162">
        <v>0</v>
      </c>
      <c r="H162">
        <v>37297</v>
      </c>
      <c r="I162">
        <v>15</v>
      </c>
      <c r="J162">
        <v>0</v>
      </c>
      <c r="K162">
        <v>0</v>
      </c>
      <c r="L162">
        <v>0</v>
      </c>
      <c r="M162">
        <v>0</v>
      </c>
      <c r="N162">
        <v>56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</row>
    <row r="163" spans="1:20" hidden="1" x14ac:dyDescent="0.25">
      <c r="A163" t="s">
        <v>324</v>
      </c>
      <c r="B163" t="s">
        <v>325</v>
      </c>
      <c r="C163" t="s">
        <v>325</v>
      </c>
      <c r="D163">
        <v>44373</v>
      </c>
      <c r="E163">
        <v>305</v>
      </c>
      <c r="F163">
        <v>70</v>
      </c>
      <c r="G163">
        <v>0</v>
      </c>
      <c r="H163">
        <v>44068</v>
      </c>
      <c r="I163">
        <v>142</v>
      </c>
      <c r="J163">
        <v>0</v>
      </c>
      <c r="K163">
        <v>0</v>
      </c>
      <c r="L163">
        <v>0</v>
      </c>
      <c r="M163">
        <v>0</v>
      </c>
      <c r="N163">
        <v>163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</row>
    <row r="164" spans="1:20" hidden="1" x14ac:dyDescent="0.25">
      <c r="A164" t="s">
        <v>326</v>
      </c>
      <c r="B164" t="s">
        <v>327</v>
      </c>
      <c r="C164" t="s">
        <v>327</v>
      </c>
      <c r="D164">
        <v>40054</v>
      </c>
      <c r="E164">
        <v>573</v>
      </c>
      <c r="F164">
        <v>59</v>
      </c>
      <c r="G164">
        <v>0</v>
      </c>
      <c r="H164">
        <v>39482</v>
      </c>
      <c r="I164">
        <v>224</v>
      </c>
      <c r="J164">
        <v>0</v>
      </c>
      <c r="K164">
        <v>0</v>
      </c>
      <c r="L164">
        <v>0</v>
      </c>
      <c r="M164">
        <v>0</v>
      </c>
      <c r="N164">
        <v>348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</row>
    <row r="165" spans="1:20" hidden="1" x14ac:dyDescent="0.25">
      <c r="A165" t="s">
        <v>328</v>
      </c>
      <c r="B165" t="s">
        <v>329</v>
      </c>
      <c r="C165" t="s">
        <v>329</v>
      </c>
      <c r="D165">
        <v>43452</v>
      </c>
      <c r="E165">
        <v>10677</v>
      </c>
      <c r="F165">
        <v>63</v>
      </c>
      <c r="G165">
        <v>0</v>
      </c>
      <c r="H165">
        <v>32843</v>
      </c>
      <c r="I165">
        <v>3063</v>
      </c>
      <c r="J165">
        <v>0</v>
      </c>
      <c r="K165">
        <v>0</v>
      </c>
      <c r="L165">
        <v>0</v>
      </c>
      <c r="M165">
        <v>0</v>
      </c>
      <c r="N165">
        <v>7510</v>
      </c>
      <c r="O165">
        <v>0</v>
      </c>
      <c r="P165">
        <v>25</v>
      </c>
      <c r="Q165">
        <v>0</v>
      </c>
      <c r="R165">
        <v>5</v>
      </c>
      <c r="S165">
        <v>6</v>
      </c>
      <c r="T165">
        <v>0</v>
      </c>
    </row>
    <row r="166" spans="1:20" hidden="1" x14ac:dyDescent="0.25">
      <c r="A166" t="s">
        <v>330</v>
      </c>
      <c r="B166" t="s">
        <v>331</v>
      </c>
      <c r="C166" t="s">
        <v>331</v>
      </c>
      <c r="D166">
        <v>50352</v>
      </c>
      <c r="E166">
        <v>141</v>
      </c>
      <c r="F166">
        <v>65</v>
      </c>
      <c r="G166">
        <v>0</v>
      </c>
      <c r="H166">
        <v>50211</v>
      </c>
      <c r="I166">
        <v>47</v>
      </c>
      <c r="J166">
        <v>0</v>
      </c>
      <c r="K166">
        <v>0</v>
      </c>
      <c r="L166">
        <v>0</v>
      </c>
      <c r="M166">
        <v>0</v>
      </c>
      <c r="N166">
        <v>94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</row>
    <row r="167" spans="1:20" hidden="1" x14ac:dyDescent="0.25">
      <c r="A167" t="s">
        <v>332</v>
      </c>
      <c r="B167" t="s">
        <v>333</v>
      </c>
      <c r="C167" t="s">
        <v>333</v>
      </c>
      <c r="D167">
        <v>47413</v>
      </c>
      <c r="E167">
        <v>588</v>
      </c>
      <c r="F167">
        <v>52</v>
      </c>
      <c r="G167">
        <v>0</v>
      </c>
      <c r="H167">
        <v>46828</v>
      </c>
      <c r="I167">
        <v>366</v>
      </c>
      <c r="J167">
        <v>0</v>
      </c>
      <c r="K167">
        <v>0</v>
      </c>
      <c r="L167">
        <v>0</v>
      </c>
      <c r="M167">
        <v>0</v>
      </c>
      <c r="N167">
        <v>219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</row>
    <row r="168" spans="1:20" hidden="1" x14ac:dyDescent="0.25">
      <c r="A168" t="s">
        <v>334</v>
      </c>
      <c r="B168" t="s">
        <v>335</v>
      </c>
      <c r="C168" t="s">
        <v>335</v>
      </c>
      <c r="D168">
        <v>40695</v>
      </c>
      <c r="E168">
        <v>733</v>
      </c>
      <c r="F168">
        <v>78</v>
      </c>
      <c r="G168">
        <v>0</v>
      </c>
      <c r="H168">
        <v>39963</v>
      </c>
      <c r="I168">
        <v>232</v>
      </c>
      <c r="J168">
        <v>0</v>
      </c>
      <c r="K168">
        <v>0</v>
      </c>
      <c r="L168">
        <v>0</v>
      </c>
      <c r="M168">
        <v>0</v>
      </c>
      <c r="N168">
        <v>499</v>
      </c>
      <c r="O168">
        <v>0</v>
      </c>
      <c r="P168">
        <v>0</v>
      </c>
      <c r="Q168">
        <v>0</v>
      </c>
      <c r="R168">
        <v>0</v>
      </c>
      <c r="S168">
        <v>1</v>
      </c>
      <c r="T168">
        <v>0</v>
      </c>
    </row>
    <row r="169" spans="1:20" hidden="1" x14ac:dyDescent="0.25">
      <c r="A169" t="s">
        <v>336</v>
      </c>
      <c r="B169" t="s">
        <v>337</v>
      </c>
      <c r="C169" t="s">
        <v>337</v>
      </c>
      <c r="D169">
        <v>0</v>
      </c>
      <c r="E169">
        <v>0</v>
      </c>
      <c r="F169">
        <v>28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</row>
    <row r="170" spans="1:20" hidden="1" x14ac:dyDescent="0.25">
      <c r="A170" t="s">
        <v>338</v>
      </c>
      <c r="B170" t="s">
        <v>339</v>
      </c>
      <c r="C170" t="s">
        <v>339</v>
      </c>
      <c r="D170">
        <v>37255</v>
      </c>
      <c r="E170">
        <v>2771</v>
      </c>
      <c r="F170">
        <v>56</v>
      </c>
      <c r="G170">
        <v>0</v>
      </c>
      <c r="H170">
        <v>34491</v>
      </c>
      <c r="I170">
        <v>1242</v>
      </c>
      <c r="J170">
        <v>0</v>
      </c>
      <c r="K170">
        <v>0</v>
      </c>
      <c r="L170">
        <v>0</v>
      </c>
      <c r="M170">
        <v>0</v>
      </c>
      <c r="N170">
        <v>1520</v>
      </c>
      <c r="O170">
        <v>0</v>
      </c>
      <c r="P170">
        <v>0</v>
      </c>
      <c r="Q170">
        <v>0</v>
      </c>
      <c r="R170">
        <v>2</v>
      </c>
      <c r="S170">
        <v>0</v>
      </c>
      <c r="T170">
        <v>0</v>
      </c>
    </row>
    <row r="171" spans="1:20" hidden="1" x14ac:dyDescent="0.25">
      <c r="A171" t="s">
        <v>340</v>
      </c>
      <c r="B171" t="s">
        <v>341</v>
      </c>
      <c r="C171" t="s">
        <v>341</v>
      </c>
      <c r="D171">
        <v>43653</v>
      </c>
      <c r="E171">
        <v>1530</v>
      </c>
      <c r="F171">
        <v>73</v>
      </c>
      <c r="G171">
        <v>0</v>
      </c>
      <c r="H171">
        <v>42124</v>
      </c>
      <c r="I171">
        <v>835</v>
      </c>
      <c r="J171">
        <v>0</v>
      </c>
      <c r="K171">
        <v>0</v>
      </c>
      <c r="L171">
        <v>0</v>
      </c>
      <c r="M171">
        <v>0</v>
      </c>
      <c r="N171">
        <v>694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</row>
    <row r="172" spans="1:20" hidden="1" x14ac:dyDescent="0.25">
      <c r="A172" t="s">
        <v>342</v>
      </c>
      <c r="B172" t="s">
        <v>343</v>
      </c>
      <c r="C172" t="s">
        <v>343</v>
      </c>
      <c r="D172">
        <v>45801</v>
      </c>
      <c r="E172">
        <v>580</v>
      </c>
      <c r="F172">
        <v>75</v>
      </c>
      <c r="G172">
        <v>0</v>
      </c>
      <c r="H172">
        <v>45221</v>
      </c>
      <c r="I172">
        <v>560</v>
      </c>
      <c r="J172">
        <v>0</v>
      </c>
      <c r="K172">
        <v>0</v>
      </c>
      <c r="L172">
        <v>0</v>
      </c>
      <c r="M172">
        <v>0</v>
      </c>
      <c r="N172">
        <v>20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</row>
    <row r="173" spans="1:20" hidden="1" x14ac:dyDescent="0.25">
      <c r="A173" t="s">
        <v>344</v>
      </c>
      <c r="B173" t="s">
        <v>345</v>
      </c>
      <c r="C173" t="s">
        <v>345</v>
      </c>
      <c r="D173">
        <v>36399</v>
      </c>
      <c r="E173">
        <v>2222</v>
      </c>
      <c r="F173">
        <v>48</v>
      </c>
      <c r="G173">
        <v>0</v>
      </c>
      <c r="H173">
        <v>34179</v>
      </c>
      <c r="I173">
        <v>518</v>
      </c>
      <c r="J173">
        <v>0</v>
      </c>
      <c r="K173">
        <v>0</v>
      </c>
      <c r="L173">
        <v>0</v>
      </c>
      <c r="M173">
        <v>0</v>
      </c>
      <c r="N173">
        <v>1701</v>
      </c>
      <c r="O173">
        <v>0</v>
      </c>
      <c r="P173">
        <v>0</v>
      </c>
      <c r="Q173">
        <v>0</v>
      </c>
      <c r="R173">
        <v>0</v>
      </c>
      <c r="S173">
        <v>1</v>
      </c>
      <c r="T173">
        <v>0</v>
      </c>
    </row>
    <row r="174" spans="1:20" hidden="1" x14ac:dyDescent="0.25">
      <c r="A174" t="s">
        <v>346</v>
      </c>
      <c r="B174" t="s">
        <v>347</v>
      </c>
      <c r="C174" t="s">
        <v>347</v>
      </c>
      <c r="D174">
        <v>26800</v>
      </c>
      <c r="E174">
        <v>2168</v>
      </c>
      <c r="F174">
        <v>41</v>
      </c>
      <c r="G174">
        <v>0</v>
      </c>
      <c r="H174">
        <v>24634</v>
      </c>
      <c r="I174">
        <v>1014</v>
      </c>
      <c r="J174">
        <v>0</v>
      </c>
      <c r="K174">
        <v>0</v>
      </c>
      <c r="L174">
        <v>0</v>
      </c>
      <c r="M174">
        <v>0</v>
      </c>
      <c r="N174">
        <v>1141</v>
      </c>
      <c r="O174">
        <v>0</v>
      </c>
      <c r="P174">
        <v>1</v>
      </c>
      <c r="Q174">
        <v>0</v>
      </c>
      <c r="R174">
        <v>8</v>
      </c>
      <c r="S174">
        <v>2</v>
      </c>
      <c r="T174">
        <v>0</v>
      </c>
    </row>
    <row r="175" spans="1:20" hidden="1" x14ac:dyDescent="0.25">
      <c r="A175" t="s">
        <v>348</v>
      </c>
      <c r="B175" t="s">
        <v>349</v>
      </c>
      <c r="C175" t="s">
        <v>349</v>
      </c>
      <c r="D175">
        <v>20560</v>
      </c>
      <c r="E175">
        <v>1024</v>
      </c>
      <c r="F175">
        <v>45</v>
      </c>
      <c r="G175">
        <v>0</v>
      </c>
      <c r="H175">
        <v>19542</v>
      </c>
      <c r="I175">
        <v>376</v>
      </c>
      <c r="J175">
        <v>0</v>
      </c>
      <c r="K175">
        <v>0</v>
      </c>
      <c r="L175">
        <v>0</v>
      </c>
      <c r="M175">
        <v>0</v>
      </c>
      <c r="N175">
        <v>641</v>
      </c>
      <c r="O175">
        <v>0</v>
      </c>
      <c r="P175">
        <v>0</v>
      </c>
      <c r="Q175">
        <v>0</v>
      </c>
      <c r="R175">
        <v>0</v>
      </c>
      <c r="S175">
        <v>1</v>
      </c>
      <c r="T175">
        <v>0</v>
      </c>
    </row>
    <row r="176" spans="1:20" hidden="1" x14ac:dyDescent="0.25">
      <c r="A176" t="s">
        <v>350</v>
      </c>
      <c r="B176" t="s">
        <v>351</v>
      </c>
      <c r="C176" t="s">
        <v>351</v>
      </c>
      <c r="D176">
        <v>43067</v>
      </c>
      <c r="E176">
        <v>565</v>
      </c>
      <c r="F176">
        <v>75</v>
      </c>
      <c r="G176">
        <v>0</v>
      </c>
      <c r="H176">
        <v>42504</v>
      </c>
      <c r="I176">
        <v>32</v>
      </c>
      <c r="J176">
        <v>0</v>
      </c>
      <c r="K176">
        <v>0</v>
      </c>
      <c r="L176">
        <v>0</v>
      </c>
      <c r="M176">
        <v>0</v>
      </c>
      <c r="N176">
        <v>526</v>
      </c>
      <c r="O176">
        <v>0</v>
      </c>
      <c r="P176">
        <v>0</v>
      </c>
      <c r="Q176">
        <v>0</v>
      </c>
      <c r="R176">
        <v>5</v>
      </c>
      <c r="S176">
        <v>0</v>
      </c>
      <c r="T176">
        <v>0</v>
      </c>
    </row>
    <row r="177" spans="1:20" hidden="1" x14ac:dyDescent="0.25">
      <c r="A177" t="s">
        <v>352</v>
      </c>
      <c r="B177" t="s">
        <v>353</v>
      </c>
      <c r="C177" t="s">
        <v>353</v>
      </c>
      <c r="D177">
        <v>42366</v>
      </c>
      <c r="E177">
        <v>243</v>
      </c>
      <c r="F177">
        <v>78</v>
      </c>
      <c r="G177">
        <v>0</v>
      </c>
      <c r="H177">
        <v>42123</v>
      </c>
      <c r="I177">
        <v>63</v>
      </c>
      <c r="J177">
        <v>0</v>
      </c>
      <c r="K177">
        <v>0</v>
      </c>
      <c r="L177">
        <v>0</v>
      </c>
      <c r="M177">
        <v>0</v>
      </c>
      <c r="N177">
        <v>180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</row>
    <row r="178" spans="1:20" hidden="1" x14ac:dyDescent="0.25">
      <c r="A178" t="s">
        <v>354</v>
      </c>
      <c r="B178" t="s">
        <v>355</v>
      </c>
      <c r="C178" t="s">
        <v>355</v>
      </c>
      <c r="D178">
        <v>17335</v>
      </c>
      <c r="E178">
        <v>1350</v>
      </c>
      <c r="F178">
        <v>36</v>
      </c>
      <c r="G178">
        <v>0</v>
      </c>
      <c r="H178">
        <v>15987</v>
      </c>
      <c r="I178">
        <v>423</v>
      </c>
      <c r="J178">
        <v>0</v>
      </c>
      <c r="K178">
        <v>0</v>
      </c>
      <c r="L178">
        <v>0</v>
      </c>
      <c r="M178">
        <v>0</v>
      </c>
      <c r="N178">
        <v>925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</row>
    <row r="179" spans="1:20" hidden="1" x14ac:dyDescent="0.25">
      <c r="A179" t="s">
        <v>356</v>
      </c>
      <c r="B179" t="s">
        <v>357</v>
      </c>
      <c r="C179" t="s">
        <v>357</v>
      </c>
      <c r="D179">
        <v>33087</v>
      </c>
      <c r="E179">
        <v>87</v>
      </c>
      <c r="F179">
        <v>56</v>
      </c>
      <c r="G179">
        <v>0</v>
      </c>
      <c r="H179">
        <v>33000</v>
      </c>
      <c r="I179">
        <v>18</v>
      </c>
      <c r="J179">
        <v>0</v>
      </c>
      <c r="K179">
        <v>0</v>
      </c>
      <c r="L179">
        <v>0</v>
      </c>
      <c r="M179">
        <v>0</v>
      </c>
      <c r="N179">
        <v>69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</row>
    <row r="180" spans="1:20" hidden="1" x14ac:dyDescent="0.25">
      <c r="A180" t="s">
        <v>358</v>
      </c>
      <c r="B180" t="s">
        <v>359</v>
      </c>
      <c r="C180" t="s">
        <v>359</v>
      </c>
      <c r="D180">
        <v>34823</v>
      </c>
      <c r="E180">
        <v>11937</v>
      </c>
      <c r="F180">
        <v>44</v>
      </c>
      <c r="G180">
        <v>0</v>
      </c>
      <c r="H180">
        <v>22918</v>
      </c>
      <c r="I180">
        <v>4146</v>
      </c>
      <c r="J180">
        <v>0</v>
      </c>
      <c r="K180">
        <v>0</v>
      </c>
      <c r="L180">
        <v>0</v>
      </c>
      <c r="M180">
        <v>0</v>
      </c>
      <c r="N180">
        <v>7714</v>
      </c>
      <c r="O180">
        <v>0</v>
      </c>
      <c r="P180">
        <v>36</v>
      </c>
      <c r="Q180">
        <v>0</v>
      </c>
      <c r="R180">
        <v>4</v>
      </c>
      <c r="S180">
        <v>5</v>
      </c>
      <c r="T180">
        <v>0</v>
      </c>
    </row>
    <row r="181" spans="1:20" hidden="1" x14ac:dyDescent="0.25">
      <c r="A181" t="s">
        <v>360</v>
      </c>
      <c r="B181" t="s">
        <v>361</v>
      </c>
      <c r="C181" t="s">
        <v>361</v>
      </c>
      <c r="D181">
        <v>28778</v>
      </c>
      <c r="E181">
        <v>1661</v>
      </c>
      <c r="F181">
        <v>50</v>
      </c>
      <c r="G181">
        <v>0</v>
      </c>
      <c r="H181">
        <v>27127</v>
      </c>
      <c r="I181">
        <v>908</v>
      </c>
      <c r="J181">
        <v>0</v>
      </c>
      <c r="K181">
        <v>0</v>
      </c>
      <c r="L181">
        <v>0</v>
      </c>
      <c r="M181">
        <v>0</v>
      </c>
      <c r="N181">
        <v>742</v>
      </c>
      <c r="O181">
        <v>0</v>
      </c>
      <c r="P181">
        <v>0</v>
      </c>
      <c r="Q181">
        <v>0</v>
      </c>
      <c r="R181">
        <v>1</v>
      </c>
      <c r="S181">
        <v>0</v>
      </c>
      <c r="T181">
        <v>0</v>
      </c>
    </row>
    <row r="182" spans="1:20" hidden="1" x14ac:dyDescent="0.25">
      <c r="A182" t="s">
        <v>362</v>
      </c>
      <c r="B182" t="s">
        <v>363</v>
      </c>
      <c r="C182" t="s">
        <v>363</v>
      </c>
      <c r="D182">
        <v>37357</v>
      </c>
      <c r="E182">
        <v>0</v>
      </c>
      <c r="F182">
        <v>54</v>
      </c>
      <c r="G182">
        <v>0</v>
      </c>
      <c r="H182">
        <v>37357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</row>
    <row r="183" spans="1:20" hidden="1" x14ac:dyDescent="0.25">
      <c r="A183" t="s">
        <v>364</v>
      </c>
      <c r="B183" t="s">
        <v>365</v>
      </c>
      <c r="C183" t="s">
        <v>365</v>
      </c>
      <c r="D183">
        <v>42337</v>
      </c>
      <c r="E183">
        <v>22002</v>
      </c>
      <c r="F183">
        <v>61</v>
      </c>
      <c r="G183">
        <v>0</v>
      </c>
      <c r="H183">
        <v>20484</v>
      </c>
      <c r="I183">
        <v>6056</v>
      </c>
      <c r="J183">
        <v>0</v>
      </c>
      <c r="K183">
        <v>0</v>
      </c>
      <c r="L183">
        <v>0</v>
      </c>
      <c r="M183">
        <v>0</v>
      </c>
      <c r="N183">
        <v>15775</v>
      </c>
      <c r="O183">
        <v>0</v>
      </c>
      <c r="P183">
        <v>5</v>
      </c>
      <c r="Q183">
        <v>0</v>
      </c>
      <c r="R183">
        <v>10</v>
      </c>
      <c r="S183">
        <v>7</v>
      </c>
      <c r="T183">
        <v>0</v>
      </c>
    </row>
    <row r="184" spans="1:20" hidden="1" x14ac:dyDescent="0.25">
      <c r="A184" t="s">
        <v>366</v>
      </c>
      <c r="B184" t="s">
        <v>367</v>
      </c>
      <c r="C184" t="s">
        <v>367</v>
      </c>
      <c r="D184">
        <v>38491</v>
      </c>
      <c r="E184">
        <v>1109</v>
      </c>
      <c r="F184">
        <v>47</v>
      </c>
      <c r="G184">
        <v>0</v>
      </c>
      <c r="H184">
        <v>37383</v>
      </c>
      <c r="I184">
        <v>858</v>
      </c>
      <c r="J184">
        <v>0</v>
      </c>
      <c r="K184">
        <v>0</v>
      </c>
      <c r="L184">
        <v>0</v>
      </c>
      <c r="M184">
        <v>0</v>
      </c>
      <c r="N184">
        <v>250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</row>
    <row r="185" spans="1:20" hidden="1" x14ac:dyDescent="0.25">
      <c r="A185" t="s">
        <v>368</v>
      </c>
      <c r="B185" t="s">
        <v>369</v>
      </c>
      <c r="C185" t="s">
        <v>369</v>
      </c>
      <c r="D185">
        <v>13919</v>
      </c>
      <c r="E185">
        <v>60</v>
      </c>
      <c r="F185">
        <v>18</v>
      </c>
      <c r="G185">
        <v>0</v>
      </c>
      <c r="H185">
        <v>13859</v>
      </c>
      <c r="I185">
        <v>23</v>
      </c>
      <c r="J185">
        <v>0</v>
      </c>
      <c r="K185">
        <v>0</v>
      </c>
      <c r="L185">
        <v>0</v>
      </c>
      <c r="M185">
        <v>0</v>
      </c>
      <c r="N185">
        <v>37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</row>
    <row r="186" spans="1:20" hidden="1" x14ac:dyDescent="0.25">
      <c r="A186" t="s">
        <v>370</v>
      </c>
      <c r="B186" t="s">
        <v>371</v>
      </c>
      <c r="C186" t="s">
        <v>371</v>
      </c>
      <c r="D186">
        <v>36225</v>
      </c>
      <c r="E186">
        <v>2184</v>
      </c>
      <c r="F186">
        <v>45</v>
      </c>
      <c r="G186">
        <v>0</v>
      </c>
      <c r="H186">
        <v>34045</v>
      </c>
      <c r="I186">
        <v>1258</v>
      </c>
      <c r="J186">
        <v>0</v>
      </c>
      <c r="K186">
        <v>0</v>
      </c>
      <c r="L186">
        <v>0</v>
      </c>
      <c r="M186">
        <v>0</v>
      </c>
      <c r="N186">
        <v>922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</row>
    <row r="187" spans="1:20" hidden="1" x14ac:dyDescent="0.25">
      <c r="A187" t="s">
        <v>372</v>
      </c>
      <c r="B187" t="s">
        <v>373</v>
      </c>
      <c r="C187" t="s">
        <v>373</v>
      </c>
      <c r="D187">
        <v>30512</v>
      </c>
      <c r="E187">
        <v>452</v>
      </c>
      <c r="F187">
        <v>36</v>
      </c>
      <c r="G187">
        <v>0</v>
      </c>
      <c r="H187">
        <v>30061</v>
      </c>
      <c r="I187">
        <v>188</v>
      </c>
      <c r="J187">
        <v>0</v>
      </c>
      <c r="K187">
        <v>0</v>
      </c>
      <c r="L187">
        <v>0</v>
      </c>
      <c r="M187">
        <v>0</v>
      </c>
      <c r="N187">
        <v>263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</row>
    <row r="188" spans="1:20" hidden="1" x14ac:dyDescent="0.25">
      <c r="A188" t="s">
        <v>374</v>
      </c>
      <c r="B188" t="s">
        <v>375</v>
      </c>
      <c r="C188" t="s">
        <v>375</v>
      </c>
      <c r="D188">
        <v>34800</v>
      </c>
      <c r="E188">
        <v>314</v>
      </c>
      <c r="F188">
        <v>55</v>
      </c>
      <c r="G188">
        <v>0</v>
      </c>
      <c r="H188">
        <v>34486</v>
      </c>
      <c r="I188">
        <v>60</v>
      </c>
      <c r="J188">
        <v>0</v>
      </c>
      <c r="K188">
        <v>0</v>
      </c>
      <c r="L188">
        <v>0</v>
      </c>
      <c r="M188">
        <v>0</v>
      </c>
      <c r="N188">
        <v>254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</row>
    <row r="189" spans="1:20" hidden="1" x14ac:dyDescent="0.25">
      <c r="A189" t="s">
        <v>376</v>
      </c>
      <c r="B189" t="s">
        <v>377</v>
      </c>
      <c r="C189" t="s">
        <v>377</v>
      </c>
      <c r="D189">
        <v>26015</v>
      </c>
      <c r="E189">
        <v>201</v>
      </c>
      <c r="F189">
        <v>40</v>
      </c>
      <c r="G189">
        <v>0</v>
      </c>
      <c r="H189">
        <v>25814</v>
      </c>
      <c r="I189">
        <v>51</v>
      </c>
      <c r="J189">
        <v>0</v>
      </c>
      <c r="K189">
        <v>0</v>
      </c>
      <c r="L189">
        <v>0</v>
      </c>
      <c r="M189">
        <v>0</v>
      </c>
      <c r="N189">
        <v>150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</row>
    <row r="190" spans="1:20" hidden="1" x14ac:dyDescent="0.25">
      <c r="A190" t="s">
        <v>378</v>
      </c>
      <c r="B190" t="s">
        <v>379</v>
      </c>
      <c r="C190" t="s">
        <v>379</v>
      </c>
      <c r="D190">
        <v>18306</v>
      </c>
      <c r="E190">
        <v>87</v>
      </c>
      <c r="F190">
        <v>31</v>
      </c>
      <c r="G190">
        <v>0</v>
      </c>
      <c r="H190">
        <v>18219</v>
      </c>
      <c r="I190">
        <v>18</v>
      </c>
      <c r="J190">
        <v>0</v>
      </c>
      <c r="K190">
        <v>0</v>
      </c>
      <c r="L190">
        <v>0</v>
      </c>
      <c r="M190">
        <v>0</v>
      </c>
      <c r="N190">
        <v>69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</row>
    <row r="191" spans="1:20" hidden="1" x14ac:dyDescent="0.25">
      <c r="A191" t="s">
        <v>380</v>
      </c>
      <c r="B191" t="s">
        <v>381</v>
      </c>
      <c r="C191" t="s">
        <v>381</v>
      </c>
      <c r="D191">
        <v>23916</v>
      </c>
      <c r="E191">
        <v>1557</v>
      </c>
      <c r="F191">
        <v>40</v>
      </c>
      <c r="G191">
        <v>0</v>
      </c>
      <c r="H191">
        <v>22361</v>
      </c>
      <c r="I191">
        <v>218</v>
      </c>
      <c r="J191">
        <v>0</v>
      </c>
      <c r="K191">
        <v>0</v>
      </c>
      <c r="L191">
        <v>0</v>
      </c>
      <c r="M191">
        <v>0</v>
      </c>
      <c r="N191">
        <v>1331</v>
      </c>
      <c r="O191">
        <v>0</v>
      </c>
      <c r="P191">
        <v>0</v>
      </c>
      <c r="Q191">
        <v>0</v>
      </c>
      <c r="R191">
        <v>4</v>
      </c>
      <c r="S191">
        <v>2</v>
      </c>
      <c r="T191">
        <v>0</v>
      </c>
    </row>
    <row r="192" spans="1:20" hidden="1" x14ac:dyDescent="0.25">
      <c r="A192" t="s">
        <v>382</v>
      </c>
      <c r="B192" t="s">
        <v>383</v>
      </c>
      <c r="C192" t="s">
        <v>383</v>
      </c>
      <c r="D192">
        <v>18166</v>
      </c>
      <c r="E192">
        <v>2568</v>
      </c>
      <c r="F192">
        <v>20</v>
      </c>
      <c r="G192">
        <v>0</v>
      </c>
      <c r="H192">
        <v>15605</v>
      </c>
      <c r="I192">
        <v>383</v>
      </c>
      <c r="J192">
        <v>0</v>
      </c>
      <c r="K192">
        <v>0</v>
      </c>
      <c r="L192">
        <v>0</v>
      </c>
      <c r="M192">
        <v>0</v>
      </c>
      <c r="N192">
        <v>2178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</row>
    <row r="193" spans="1:20" hidden="1" x14ac:dyDescent="0.25">
      <c r="A193" t="s">
        <v>384</v>
      </c>
      <c r="B193" t="s">
        <v>385</v>
      </c>
      <c r="C193" t="s">
        <v>385</v>
      </c>
      <c r="D193">
        <v>38062</v>
      </c>
      <c r="E193">
        <v>5690</v>
      </c>
      <c r="F193">
        <v>49</v>
      </c>
      <c r="G193">
        <v>0</v>
      </c>
      <c r="H193">
        <v>32384</v>
      </c>
      <c r="I193">
        <v>2018</v>
      </c>
      <c r="J193">
        <v>0</v>
      </c>
      <c r="K193">
        <v>0</v>
      </c>
      <c r="L193">
        <v>0</v>
      </c>
      <c r="M193">
        <v>0</v>
      </c>
      <c r="N193">
        <v>3660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</row>
    <row r="194" spans="1:20" hidden="1" x14ac:dyDescent="0.25">
      <c r="A194" t="s">
        <v>386</v>
      </c>
      <c r="B194" t="s">
        <v>387</v>
      </c>
      <c r="C194" t="s">
        <v>387</v>
      </c>
      <c r="D194">
        <v>35782</v>
      </c>
      <c r="E194">
        <v>1555</v>
      </c>
      <c r="F194">
        <v>42</v>
      </c>
      <c r="G194">
        <v>0</v>
      </c>
      <c r="H194">
        <v>34236</v>
      </c>
      <c r="I194">
        <v>993</v>
      </c>
      <c r="J194">
        <v>0</v>
      </c>
      <c r="K194">
        <v>0</v>
      </c>
      <c r="L194">
        <v>0</v>
      </c>
      <c r="M194">
        <v>0</v>
      </c>
      <c r="N194">
        <v>541</v>
      </c>
      <c r="O194">
        <v>0</v>
      </c>
      <c r="P194">
        <v>12</v>
      </c>
      <c r="Q194">
        <v>0</v>
      </c>
      <c r="R194">
        <v>0</v>
      </c>
      <c r="S194">
        <v>0</v>
      </c>
      <c r="T194">
        <v>0</v>
      </c>
    </row>
    <row r="195" spans="1:20" hidden="1" x14ac:dyDescent="0.25">
      <c r="A195" t="s">
        <v>388</v>
      </c>
      <c r="B195" t="s">
        <v>389</v>
      </c>
      <c r="C195" t="s">
        <v>389</v>
      </c>
      <c r="D195">
        <v>3326</v>
      </c>
      <c r="E195">
        <v>248</v>
      </c>
      <c r="F195">
        <v>5</v>
      </c>
      <c r="G195">
        <v>0</v>
      </c>
      <c r="H195">
        <v>3078</v>
      </c>
      <c r="I195">
        <v>128</v>
      </c>
      <c r="J195">
        <v>0</v>
      </c>
      <c r="K195">
        <v>0</v>
      </c>
      <c r="L195">
        <v>0</v>
      </c>
      <c r="M195">
        <v>0</v>
      </c>
      <c r="N195">
        <v>120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</row>
    <row r="196" spans="1:20" hidden="1" x14ac:dyDescent="0.25">
      <c r="A196" t="s">
        <v>390</v>
      </c>
      <c r="B196" t="s">
        <v>391</v>
      </c>
      <c r="C196" t="s">
        <v>391</v>
      </c>
      <c r="D196">
        <v>9375</v>
      </c>
      <c r="E196">
        <v>694</v>
      </c>
      <c r="F196">
        <v>13</v>
      </c>
      <c r="G196">
        <v>0</v>
      </c>
      <c r="H196">
        <v>8681</v>
      </c>
      <c r="I196">
        <v>320</v>
      </c>
      <c r="J196">
        <v>0</v>
      </c>
      <c r="K196">
        <v>0</v>
      </c>
      <c r="L196">
        <v>0</v>
      </c>
      <c r="M196">
        <v>0</v>
      </c>
      <c r="N196">
        <v>371</v>
      </c>
      <c r="O196">
        <v>0</v>
      </c>
      <c r="P196">
        <v>3</v>
      </c>
      <c r="Q196">
        <v>0</v>
      </c>
      <c r="R196">
        <v>0</v>
      </c>
      <c r="S196">
        <v>0</v>
      </c>
      <c r="T196">
        <v>0</v>
      </c>
    </row>
    <row r="197" spans="1:20" hidden="1" x14ac:dyDescent="0.25">
      <c r="A197" t="s">
        <v>392</v>
      </c>
      <c r="B197" t="s">
        <v>393</v>
      </c>
      <c r="C197" t="s">
        <v>393</v>
      </c>
      <c r="D197">
        <v>11532</v>
      </c>
      <c r="E197">
        <v>546</v>
      </c>
      <c r="F197">
        <v>16</v>
      </c>
      <c r="G197">
        <v>0</v>
      </c>
      <c r="H197">
        <v>10986</v>
      </c>
      <c r="I197">
        <v>404</v>
      </c>
      <c r="J197">
        <v>0</v>
      </c>
      <c r="K197">
        <v>0</v>
      </c>
      <c r="L197">
        <v>0</v>
      </c>
      <c r="M197">
        <v>0</v>
      </c>
      <c r="N197">
        <v>142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</row>
    <row r="198" spans="1:20" hidden="1" x14ac:dyDescent="0.25">
      <c r="A198" t="s">
        <v>394</v>
      </c>
      <c r="B198" t="s">
        <v>395</v>
      </c>
      <c r="C198" t="s">
        <v>395</v>
      </c>
      <c r="D198">
        <v>23959</v>
      </c>
      <c r="E198">
        <v>1638</v>
      </c>
      <c r="F198">
        <v>39</v>
      </c>
      <c r="G198">
        <v>0</v>
      </c>
      <c r="H198">
        <v>22322</v>
      </c>
      <c r="I198">
        <v>840</v>
      </c>
      <c r="J198">
        <v>0</v>
      </c>
      <c r="K198">
        <v>0</v>
      </c>
      <c r="L198">
        <v>0</v>
      </c>
      <c r="M198">
        <v>0</v>
      </c>
      <c r="N198">
        <v>797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</row>
    <row r="199" spans="1:20" hidden="1" x14ac:dyDescent="0.25">
      <c r="A199" t="s">
        <v>396</v>
      </c>
      <c r="B199" t="s">
        <v>397</v>
      </c>
      <c r="C199" t="s">
        <v>397</v>
      </c>
      <c r="D199">
        <v>8632</v>
      </c>
      <c r="E199">
        <v>840</v>
      </c>
      <c r="F199">
        <v>11</v>
      </c>
      <c r="G199">
        <v>0</v>
      </c>
      <c r="H199">
        <v>7792</v>
      </c>
      <c r="I199">
        <v>507</v>
      </c>
      <c r="J199">
        <v>0</v>
      </c>
      <c r="K199">
        <v>0</v>
      </c>
      <c r="L199">
        <v>0</v>
      </c>
      <c r="M199">
        <v>0</v>
      </c>
      <c r="N199">
        <v>333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</row>
    <row r="200" spans="1:20" hidden="1" x14ac:dyDescent="0.25">
      <c r="A200" t="s">
        <v>398</v>
      </c>
      <c r="B200" t="s">
        <v>399</v>
      </c>
      <c r="C200" t="s">
        <v>399</v>
      </c>
      <c r="D200">
        <v>5288</v>
      </c>
      <c r="E200">
        <v>825</v>
      </c>
      <c r="F200">
        <v>12</v>
      </c>
      <c r="G200">
        <v>0</v>
      </c>
      <c r="H200">
        <v>4463</v>
      </c>
      <c r="I200">
        <v>258</v>
      </c>
      <c r="J200">
        <v>0</v>
      </c>
      <c r="K200">
        <v>0</v>
      </c>
      <c r="L200">
        <v>0</v>
      </c>
      <c r="M200">
        <v>0</v>
      </c>
      <c r="N200">
        <v>567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</row>
    <row r="201" spans="1:20" hidden="1" x14ac:dyDescent="0.25">
      <c r="A201" t="s">
        <v>400</v>
      </c>
      <c r="B201" t="s">
        <v>401</v>
      </c>
      <c r="C201" t="s">
        <v>401</v>
      </c>
      <c r="D201">
        <v>10989</v>
      </c>
      <c r="E201">
        <v>373</v>
      </c>
      <c r="F201">
        <v>13</v>
      </c>
      <c r="G201">
        <v>0</v>
      </c>
      <c r="H201">
        <v>10616</v>
      </c>
      <c r="I201">
        <v>212</v>
      </c>
      <c r="J201">
        <v>0</v>
      </c>
      <c r="K201">
        <v>0</v>
      </c>
      <c r="L201">
        <v>0</v>
      </c>
      <c r="M201">
        <v>0</v>
      </c>
      <c r="N201">
        <v>161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</row>
    <row r="202" spans="1:20" hidden="1" x14ac:dyDescent="0.25">
      <c r="A202" t="s">
        <v>402</v>
      </c>
      <c r="B202" t="s">
        <v>403</v>
      </c>
      <c r="C202" t="s">
        <v>403</v>
      </c>
      <c r="D202">
        <v>11573</v>
      </c>
      <c r="E202">
        <v>1506</v>
      </c>
      <c r="F202">
        <v>14</v>
      </c>
      <c r="G202">
        <v>0</v>
      </c>
      <c r="H202">
        <v>10068</v>
      </c>
      <c r="I202">
        <v>983</v>
      </c>
      <c r="J202">
        <v>0</v>
      </c>
      <c r="K202">
        <v>0</v>
      </c>
      <c r="L202">
        <v>0</v>
      </c>
      <c r="M202">
        <v>0</v>
      </c>
      <c r="N202">
        <v>521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</row>
    <row r="203" spans="1:20" hidden="1" x14ac:dyDescent="0.25">
      <c r="A203" t="s">
        <v>404</v>
      </c>
      <c r="B203" t="s">
        <v>405</v>
      </c>
      <c r="C203" t="s">
        <v>405</v>
      </c>
      <c r="D203">
        <v>4833</v>
      </c>
      <c r="E203">
        <v>831</v>
      </c>
      <c r="F203">
        <v>17</v>
      </c>
      <c r="G203">
        <v>0</v>
      </c>
      <c r="H203">
        <v>4003</v>
      </c>
      <c r="I203">
        <v>412</v>
      </c>
      <c r="J203">
        <v>0</v>
      </c>
      <c r="K203">
        <v>0</v>
      </c>
      <c r="L203">
        <v>0</v>
      </c>
      <c r="M203">
        <v>0</v>
      </c>
      <c r="N203">
        <v>414</v>
      </c>
      <c r="O203">
        <v>0</v>
      </c>
      <c r="P203">
        <v>1</v>
      </c>
      <c r="Q203">
        <v>0</v>
      </c>
      <c r="R203">
        <v>2</v>
      </c>
      <c r="S203">
        <v>1</v>
      </c>
      <c r="T203">
        <v>0</v>
      </c>
    </row>
    <row r="204" spans="1:20" hidden="1" x14ac:dyDescent="0.25">
      <c r="A204" t="s">
        <v>406</v>
      </c>
      <c r="B204" t="s">
        <v>407</v>
      </c>
      <c r="C204" t="s">
        <v>407</v>
      </c>
      <c r="D204">
        <v>39131</v>
      </c>
      <c r="E204">
        <v>2861</v>
      </c>
      <c r="F204">
        <v>49</v>
      </c>
      <c r="G204">
        <v>0</v>
      </c>
      <c r="H204">
        <v>36271</v>
      </c>
      <c r="I204">
        <v>1496</v>
      </c>
      <c r="J204">
        <v>0</v>
      </c>
      <c r="K204">
        <v>0</v>
      </c>
      <c r="L204">
        <v>0</v>
      </c>
      <c r="M204">
        <v>0</v>
      </c>
      <c r="N204">
        <v>1364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</row>
    <row r="205" spans="1:20" hidden="1" x14ac:dyDescent="0.25">
      <c r="A205" t="s">
        <v>408</v>
      </c>
      <c r="B205" t="s">
        <v>409</v>
      </c>
      <c r="C205" t="s">
        <v>409</v>
      </c>
      <c r="D205">
        <v>17487</v>
      </c>
      <c r="E205">
        <v>1568</v>
      </c>
      <c r="F205">
        <v>28</v>
      </c>
      <c r="G205">
        <v>0</v>
      </c>
      <c r="H205">
        <v>15932</v>
      </c>
      <c r="I205">
        <v>553</v>
      </c>
      <c r="J205">
        <v>0</v>
      </c>
      <c r="K205">
        <v>0</v>
      </c>
      <c r="L205">
        <v>0</v>
      </c>
      <c r="M205">
        <v>0</v>
      </c>
      <c r="N205">
        <v>978</v>
      </c>
      <c r="O205">
        <v>0</v>
      </c>
      <c r="P205">
        <v>3</v>
      </c>
      <c r="Q205">
        <v>0</v>
      </c>
      <c r="R205">
        <v>6</v>
      </c>
      <c r="S205">
        <v>15</v>
      </c>
      <c r="T205">
        <v>0</v>
      </c>
    </row>
    <row r="206" spans="1:20" hidden="1" x14ac:dyDescent="0.25">
      <c r="A206" t="s">
        <v>410</v>
      </c>
      <c r="B206" t="s">
        <v>411</v>
      </c>
      <c r="C206" t="s">
        <v>411</v>
      </c>
      <c r="D206">
        <v>21206</v>
      </c>
      <c r="E206">
        <v>764</v>
      </c>
      <c r="F206">
        <v>22</v>
      </c>
      <c r="G206">
        <v>0</v>
      </c>
      <c r="H206">
        <v>20442</v>
      </c>
      <c r="I206">
        <v>638</v>
      </c>
      <c r="J206">
        <v>0</v>
      </c>
      <c r="K206">
        <v>0</v>
      </c>
      <c r="L206">
        <v>0</v>
      </c>
      <c r="M206">
        <v>0</v>
      </c>
      <c r="N206">
        <v>126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</row>
    <row r="207" spans="1:20" hidden="1" x14ac:dyDescent="0.25">
      <c r="A207" t="s">
        <v>412</v>
      </c>
      <c r="B207" t="s">
        <v>413</v>
      </c>
      <c r="C207" t="s">
        <v>413</v>
      </c>
      <c r="D207">
        <v>9429</v>
      </c>
      <c r="E207">
        <v>519</v>
      </c>
      <c r="F207">
        <v>13</v>
      </c>
      <c r="G207">
        <v>0</v>
      </c>
      <c r="H207">
        <v>8911</v>
      </c>
      <c r="I207">
        <v>143</v>
      </c>
      <c r="J207">
        <v>0</v>
      </c>
      <c r="K207">
        <v>0</v>
      </c>
      <c r="L207">
        <v>0</v>
      </c>
      <c r="M207">
        <v>0</v>
      </c>
      <c r="N207">
        <v>375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</row>
    <row r="208" spans="1:20" hidden="1" x14ac:dyDescent="0.25">
      <c r="A208" t="s">
        <v>414</v>
      </c>
      <c r="B208" t="s">
        <v>415</v>
      </c>
      <c r="C208" t="s">
        <v>415</v>
      </c>
      <c r="D208">
        <v>29362</v>
      </c>
      <c r="E208">
        <v>2654</v>
      </c>
      <c r="F208">
        <v>40</v>
      </c>
      <c r="G208">
        <v>0</v>
      </c>
      <c r="H208">
        <v>26716</v>
      </c>
      <c r="I208">
        <v>1342</v>
      </c>
      <c r="J208">
        <v>0</v>
      </c>
      <c r="K208">
        <v>0</v>
      </c>
      <c r="L208">
        <v>0</v>
      </c>
      <c r="M208">
        <v>0</v>
      </c>
      <c r="N208">
        <v>1304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</row>
    <row r="209" spans="1:20" hidden="1" x14ac:dyDescent="0.25">
      <c r="A209" t="s">
        <v>416</v>
      </c>
      <c r="B209" t="s">
        <v>417</v>
      </c>
      <c r="C209" t="s">
        <v>417</v>
      </c>
      <c r="D209">
        <v>55742</v>
      </c>
      <c r="E209">
        <v>8358</v>
      </c>
      <c r="F209">
        <v>71</v>
      </c>
      <c r="G209">
        <v>0</v>
      </c>
      <c r="H209">
        <v>47395</v>
      </c>
      <c r="I209">
        <v>1066</v>
      </c>
      <c r="J209">
        <v>0</v>
      </c>
      <c r="K209">
        <v>0</v>
      </c>
      <c r="L209">
        <v>0</v>
      </c>
      <c r="M209">
        <v>0</v>
      </c>
      <c r="N209">
        <v>7271</v>
      </c>
      <c r="O209">
        <v>0</v>
      </c>
      <c r="P209">
        <v>9</v>
      </c>
      <c r="Q209">
        <v>1</v>
      </c>
      <c r="R209">
        <v>0</v>
      </c>
      <c r="S209">
        <v>0</v>
      </c>
      <c r="T209">
        <v>0</v>
      </c>
    </row>
  </sheetData>
  <autoFilter ref="B1:B209">
    <filterColumn colId="0">
      <filters>
        <filter val="1727206"/>
        <filter val="1727212"/>
        <filter val="1727220"/>
        <filter val="1727224"/>
        <filter val="1727228"/>
        <filter val="1727233"/>
        <filter val="1727237"/>
        <filter val="1727239"/>
        <filter val="1727248"/>
        <filter val="1727249"/>
        <filter val="1727250"/>
        <filter val="1727253"/>
        <filter val="1727256"/>
        <filter val="1727259"/>
        <filter val="1727265"/>
        <filter val="1727401"/>
        <filter val="1727404"/>
        <filter val="1727407"/>
        <filter val="1727413"/>
        <filter val="1727415"/>
        <filter val="1727419"/>
        <filter val="1727424"/>
      </filters>
    </filterColumn>
  </autoFilter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view="pageBreakPreview" zoomScale="60" zoomScaleNormal="100" workbookViewId="0">
      <selection activeCell="B17" sqref="A17:B17"/>
    </sheetView>
  </sheetViews>
  <sheetFormatPr defaultRowHeight="15" x14ac:dyDescent="0.25"/>
  <cols>
    <col min="1" max="1" width="27.5703125" bestFit="1" customWidth="1"/>
    <col min="2" max="2" width="46.7109375" bestFit="1" customWidth="1"/>
    <col min="3" max="3" width="21" customWidth="1"/>
    <col min="4" max="4" width="22.28515625" customWidth="1"/>
    <col min="5" max="5" width="33.5703125" customWidth="1"/>
  </cols>
  <sheetData>
    <row r="1" spans="1:5" ht="25.5" x14ac:dyDescent="0.25">
      <c r="A1" s="1" t="s">
        <v>464</v>
      </c>
      <c r="B1" s="1"/>
      <c r="C1" s="1"/>
      <c r="D1" s="1"/>
      <c r="E1" s="1"/>
    </row>
    <row r="2" spans="1:5" ht="18.75" x14ac:dyDescent="0.3">
      <c r="A2" s="2"/>
      <c r="B2" s="3"/>
      <c r="C2" s="3"/>
      <c r="D2" s="4"/>
      <c r="E2" s="3"/>
    </row>
    <row r="3" spans="1:5" ht="20.25" x14ac:dyDescent="0.25">
      <c r="A3" s="5" t="s">
        <v>435</v>
      </c>
      <c r="B3" s="6" t="s">
        <v>436</v>
      </c>
      <c r="C3" s="5" t="s">
        <v>437</v>
      </c>
      <c r="D3" s="7"/>
      <c r="E3" s="8" t="s">
        <v>438</v>
      </c>
    </row>
    <row r="4" spans="1:5" ht="55.5" customHeight="1" x14ac:dyDescent="0.25">
      <c r="A4" s="5"/>
      <c r="B4" s="9"/>
      <c r="C4" s="10" t="s">
        <v>439</v>
      </c>
      <c r="D4" s="11" t="s">
        <v>440</v>
      </c>
      <c r="E4" s="12"/>
    </row>
    <row r="5" spans="1:5" ht="18.75" x14ac:dyDescent="0.3">
      <c r="A5" s="14"/>
      <c r="B5" s="13"/>
      <c r="C5" s="13"/>
      <c r="D5" s="13"/>
      <c r="E5" s="13"/>
    </row>
    <row r="6" spans="1:5" ht="20.25" x14ac:dyDescent="0.25">
      <c r="A6" s="17" t="s">
        <v>463</v>
      </c>
      <c r="B6" s="18">
        <f>SUM(B7:B30)</f>
        <v>31095</v>
      </c>
      <c r="C6" s="18">
        <f>SUM(C7:C30)</f>
        <v>16021</v>
      </c>
      <c r="D6" s="18">
        <f>B6-C6</f>
        <v>15074</v>
      </c>
      <c r="E6" s="19">
        <f>+(C6/B6)*100</f>
        <v>51.522752854156614</v>
      </c>
    </row>
    <row r="7" spans="1:5" x14ac:dyDescent="0.25">
      <c r="A7" s="17"/>
    </row>
    <row r="9" spans="1:5" ht="18.75" x14ac:dyDescent="0.3">
      <c r="A9" s="14" t="s">
        <v>441</v>
      </c>
      <c r="B9" s="15">
        <v>199</v>
      </c>
      <c r="C9" s="15">
        <v>44</v>
      </c>
      <c r="D9" s="15">
        <v>19157</v>
      </c>
      <c r="E9" s="16">
        <f>+C9/B9*100</f>
        <v>22.110552763819097</v>
      </c>
    </row>
    <row r="10" spans="1:5" ht="18.75" x14ac:dyDescent="0.3">
      <c r="A10" s="14" t="s">
        <v>442</v>
      </c>
      <c r="B10" s="15">
        <v>10</v>
      </c>
      <c r="C10" s="15">
        <v>10</v>
      </c>
      <c r="D10" s="15">
        <v>18661</v>
      </c>
      <c r="E10" s="16">
        <f t="shared" ref="E10:E30" si="0">+C10/B10*100</f>
        <v>100</v>
      </c>
    </row>
    <row r="11" spans="1:5" ht="18.75" x14ac:dyDescent="0.3">
      <c r="A11" s="14" t="s">
        <v>443</v>
      </c>
      <c r="B11" s="15">
        <v>7245</v>
      </c>
      <c r="C11" s="15">
        <v>4222</v>
      </c>
      <c r="D11" s="15">
        <v>24194</v>
      </c>
      <c r="E11" s="16">
        <f t="shared" si="0"/>
        <v>58.274672187715673</v>
      </c>
    </row>
    <row r="12" spans="1:5" ht="18.75" x14ac:dyDescent="0.3">
      <c r="A12" s="14" t="s">
        <v>444</v>
      </c>
      <c r="B12" s="15">
        <v>2914</v>
      </c>
      <c r="C12" s="15">
        <v>1106</v>
      </c>
      <c r="D12" s="15">
        <v>31689</v>
      </c>
      <c r="E12" s="16">
        <f t="shared" si="0"/>
        <v>37.954701441317781</v>
      </c>
    </row>
    <row r="13" spans="1:5" ht="18.75" x14ac:dyDescent="0.3">
      <c r="A13" s="14" t="s">
        <v>445</v>
      </c>
      <c r="B13" s="15">
        <v>5743</v>
      </c>
      <c r="C13" s="15">
        <v>2461</v>
      </c>
      <c r="D13" s="15">
        <v>21897</v>
      </c>
      <c r="E13" s="16">
        <f t="shared" si="0"/>
        <v>42.852167856520985</v>
      </c>
    </row>
    <row r="14" spans="1:5" ht="18.75" x14ac:dyDescent="0.3">
      <c r="A14" s="14" t="s">
        <v>446</v>
      </c>
      <c r="B14" s="15">
        <v>300</v>
      </c>
      <c r="C14" s="15">
        <v>80</v>
      </c>
      <c r="D14" s="15">
        <v>13184</v>
      </c>
      <c r="E14" s="16">
        <f t="shared" si="0"/>
        <v>26.666666666666668</v>
      </c>
    </row>
    <row r="15" spans="1:5" ht="18.75" x14ac:dyDescent="0.3">
      <c r="A15" s="14" t="s">
        <v>447</v>
      </c>
      <c r="B15" s="15">
        <v>1120</v>
      </c>
      <c r="C15" s="15">
        <v>212</v>
      </c>
      <c r="D15" s="15">
        <v>45139</v>
      </c>
      <c r="E15" s="16">
        <f t="shared" si="0"/>
        <v>18.928571428571427</v>
      </c>
    </row>
    <row r="16" spans="1:5" ht="18.75" x14ac:dyDescent="0.3">
      <c r="A16" s="14" t="s">
        <v>448</v>
      </c>
      <c r="B16" s="15">
        <v>467</v>
      </c>
      <c r="C16" s="15">
        <v>75</v>
      </c>
      <c r="D16" s="15">
        <v>31723</v>
      </c>
      <c r="E16" s="16">
        <f t="shared" si="0"/>
        <v>16.059957173447536</v>
      </c>
    </row>
    <row r="17" spans="1:5" ht="18.75" x14ac:dyDescent="0.3">
      <c r="A17" s="14" t="s">
        <v>449</v>
      </c>
      <c r="B17" s="15">
        <v>481</v>
      </c>
      <c r="C17" s="15">
        <v>206</v>
      </c>
      <c r="D17" s="15">
        <v>18169</v>
      </c>
      <c r="E17" s="16">
        <f t="shared" si="0"/>
        <v>42.82744282744283</v>
      </c>
    </row>
    <row r="18" spans="1:5" ht="18.75" x14ac:dyDescent="0.3">
      <c r="A18" s="14" t="s">
        <v>450</v>
      </c>
      <c r="B18" s="15">
        <v>1923</v>
      </c>
      <c r="C18" s="15">
        <v>920</v>
      </c>
      <c r="D18" s="15">
        <v>29630</v>
      </c>
      <c r="E18" s="16">
        <f t="shared" si="0"/>
        <v>47.841913676547058</v>
      </c>
    </row>
    <row r="19" spans="1:5" ht="18.75" x14ac:dyDescent="0.3">
      <c r="A19" s="14" t="s">
        <v>451</v>
      </c>
      <c r="B19" s="15">
        <v>1778</v>
      </c>
      <c r="C19" s="15">
        <v>732</v>
      </c>
      <c r="D19" s="15">
        <v>15802</v>
      </c>
      <c r="E19" s="16">
        <f t="shared" si="0"/>
        <v>41.169853768278962</v>
      </c>
    </row>
    <row r="20" spans="1:5" ht="18.75" x14ac:dyDescent="0.3">
      <c r="A20" s="14" t="s">
        <v>452</v>
      </c>
      <c r="B20" s="15">
        <v>1270</v>
      </c>
      <c r="C20" s="15">
        <v>611</v>
      </c>
      <c r="D20" s="15">
        <v>30705</v>
      </c>
      <c r="E20" s="16">
        <f t="shared" si="0"/>
        <v>48.110236220472444</v>
      </c>
    </row>
    <row r="21" spans="1:5" ht="18.75" x14ac:dyDescent="0.3">
      <c r="A21" s="14" t="s">
        <v>453</v>
      </c>
      <c r="B21" s="15">
        <v>1300</v>
      </c>
      <c r="C21" s="15">
        <v>49</v>
      </c>
      <c r="D21" s="15">
        <v>25924</v>
      </c>
      <c r="E21" s="16">
        <f t="shared" si="0"/>
        <v>3.7692307692307692</v>
      </c>
    </row>
    <row r="22" spans="1:5" ht="18.75" x14ac:dyDescent="0.3">
      <c r="A22" s="14" t="s">
        <v>454</v>
      </c>
      <c r="B22" s="15">
        <v>664</v>
      </c>
      <c r="C22" s="15">
        <v>401</v>
      </c>
      <c r="D22" s="15">
        <v>34021</v>
      </c>
      <c r="E22" s="16">
        <f t="shared" si="0"/>
        <v>60.391566265060234</v>
      </c>
    </row>
    <row r="23" spans="1:5" ht="18.75" x14ac:dyDescent="0.3">
      <c r="A23" s="14" t="s">
        <v>455</v>
      </c>
      <c r="B23" s="15">
        <v>240</v>
      </c>
      <c r="C23" s="15">
        <v>43</v>
      </c>
      <c r="D23" s="15">
        <v>46003</v>
      </c>
      <c r="E23" s="16">
        <f t="shared" si="0"/>
        <v>17.916666666666668</v>
      </c>
    </row>
    <row r="24" spans="1:5" ht="18.75" x14ac:dyDescent="0.3">
      <c r="A24" s="14" t="s">
        <v>456</v>
      </c>
      <c r="B24" s="15">
        <v>87</v>
      </c>
      <c r="C24" s="15">
        <v>86</v>
      </c>
      <c r="D24" s="15">
        <v>10704</v>
      </c>
      <c r="E24" s="16">
        <f t="shared" si="0"/>
        <v>98.850574712643677</v>
      </c>
    </row>
    <row r="25" spans="1:5" ht="18.75" x14ac:dyDescent="0.3">
      <c r="A25" s="14" t="s">
        <v>457</v>
      </c>
      <c r="B25" s="15">
        <v>2086</v>
      </c>
      <c r="C25" s="15">
        <v>1895</v>
      </c>
      <c r="D25" s="15">
        <v>10613</v>
      </c>
      <c r="E25" s="16">
        <f t="shared" si="0"/>
        <v>90.843720038350909</v>
      </c>
    </row>
    <row r="26" spans="1:5" ht="18.75" x14ac:dyDescent="0.3">
      <c r="A26" s="14" t="s">
        <v>458</v>
      </c>
      <c r="B26" s="15">
        <v>1405</v>
      </c>
      <c r="C26" s="15">
        <v>1196</v>
      </c>
      <c r="D26" s="15">
        <v>17350</v>
      </c>
      <c r="E26" s="16">
        <f t="shared" si="0"/>
        <v>85.12455516014235</v>
      </c>
    </row>
    <row r="27" spans="1:5" ht="18.75" x14ac:dyDescent="0.3">
      <c r="A27" s="14" t="s">
        <v>459</v>
      </c>
      <c r="B27" s="15">
        <v>1176</v>
      </c>
      <c r="C27" s="15">
        <v>1036</v>
      </c>
      <c r="D27" s="15">
        <v>9759</v>
      </c>
      <c r="E27" s="16">
        <f t="shared" si="0"/>
        <v>88.095238095238088</v>
      </c>
    </row>
    <row r="28" spans="1:5" ht="18.75" x14ac:dyDescent="0.3">
      <c r="A28" s="14" t="s">
        <v>460</v>
      </c>
      <c r="B28" s="15">
        <v>396</v>
      </c>
      <c r="C28" s="15">
        <v>346</v>
      </c>
      <c r="D28" s="15">
        <v>4184</v>
      </c>
      <c r="E28" s="16">
        <f t="shared" si="0"/>
        <v>87.37373737373737</v>
      </c>
    </row>
    <row r="29" spans="1:5" ht="18.75" x14ac:dyDescent="0.3">
      <c r="A29" s="14" t="s">
        <v>461</v>
      </c>
      <c r="B29" s="15">
        <v>83</v>
      </c>
      <c r="C29" s="15">
        <v>83</v>
      </c>
      <c r="D29" s="15">
        <v>16195</v>
      </c>
      <c r="E29" s="16">
        <f t="shared" si="0"/>
        <v>100</v>
      </c>
    </row>
    <row r="30" spans="1:5" ht="18.75" x14ac:dyDescent="0.3">
      <c r="A30" s="14" t="s">
        <v>462</v>
      </c>
      <c r="B30" s="15">
        <v>208</v>
      </c>
      <c r="C30" s="15">
        <v>207</v>
      </c>
      <c r="D30" s="15">
        <v>9842</v>
      </c>
      <c r="E30" s="16">
        <f t="shared" si="0"/>
        <v>99.519230769230774</v>
      </c>
    </row>
  </sheetData>
  <mergeCells count="6">
    <mergeCell ref="A1:E1"/>
    <mergeCell ref="A3:A4"/>
    <mergeCell ref="B3:B4"/>
    <mergeCell ref="C3:D3"/>
    <mergeCell ref="E3:E4"/>
    <mergeCell ref="A6:A7"/>
  </mergeCells>
  <pageMargins left="0.7" right="0.7" top="0.75" bottom="0.75" header="0.3" footer="0.3"/>
  <pageSetup paperSize="9"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Result 1</vt:lpstr>
      <vt:lpstr>SVOD_NATIJA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Холдаров А. M.</dc:creator>
  <cp:lastModifiedBy>Холдаров А. M.</cp:lastModifiedBy>
  <cp:lastPrinted>2025-12-04T08:16:38Z</cp:lastPrinted>
  <dcterms:created xsi:type="dcterms:W3CDTF">2025-12-04T08:20:01Z</dcterms:created>
  <dcterms:modified xsi:type="dcterms:W3CDTF">2025-12-04T08:20:19Z</dcterms:modified>
</cp:coreProperties>
</file>